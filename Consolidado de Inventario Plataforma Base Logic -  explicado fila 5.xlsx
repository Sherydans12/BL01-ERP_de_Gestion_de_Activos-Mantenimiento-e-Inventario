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EAC2A075-E34F-44D2-B469-DF3A707373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inventario" sheetId="1" r:id="rId1"/>
  </sheets>
  <definedNames>
    <definedName name="TítuloDeColumna1">ListaDeInventario[[#Headers],[Artículos marcados que van a volver a pedirse]]</definedName>
    <definedName name="_xlnm.Print_Titles" localSheetId="0">'Lista de inventario'!$1:$6</definedName>
    <definedName name="valResaltado">IFERROR(IF('Lista de inventario'!$L$1="sí", TRUE, FALSE),FALSE)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0" i="1" l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B219" i="1"/>
  <c r="L219" i="1"/>
  <c r="B218" i="1"/>
  <c r="L218" i="1"/>
  <c r="B217" i="1"/>
  <c r="L217" i="1"/>
  <c r="B216" i="1"/>
  <c r="L216" i="1"/>
  <c r="B215" i="1"/>
  <c r="L215" i="1"/>
  <c r="B123" i="1"/>
  <c r="L123" i="1"/>
  <c r="B214" i="1" l="1"/>
  <c r="L214" i="1"/>
  <c r="B213" i="1"/>
  <c r="L213" i="1"/>
  <c r="B212" i="1"/>
  <c r="L212" i="1"/>
  <c r="B211" i="1"/>
  <c r="L211" i="1"/>
  <c r="B210" i="1"/>
  <c r="L210" i="1"/>
  <c r="B209" i="1"/>
  <c r="L209" i="1"/>
  <c r="B208" i="1"/>
  <c r="L208" i="1"/>
  <c r="B207" i="1"/>
  <c r="L207" i="1"/>
  <c r="B206" i="1"/>
  <c r="L206" i="1"/>
  <c r="B205" i="1"/>
  <c r="L205" i="1"/>
  <c r="B204" i="1"/>
  <c r="L204" i="1"/>
  <c r="B203" i="1"/>
  <c r="L203" i="1"/>
  <c r="B202" i="1"/>
  <c r="L202" i="1"/>
  <c r="B201" i="1"/>
  <c r="L201" i="1"/>
  <c r="B200" i="1"/>
  <c r="L200" i="1"/>
  <c r="B199" i="1"/>
  <c r="L199" i="1"/>
  <c r="B198" i="1"/>
  <c r="L198" i="1"/>
  <c r="B197" i="1"/>
  <c r="L197" i="1"/>
  <c r="B196" i="1" l="1"/>
  <c r="L196" i="1"/>
  <c r="B195" i="1"/>
  <c r="L195" i="1"/>
  <c r="B194" i="1"/>
  <c r="L194" i="1"/>
  <c r="B193" i="1"/>
  <c r="L193" i="1"/>
  <c r="B192" i="1"/>
  <c r="L192" i="1"/>
  <c r="B191" i="1"/>
  <c r="L191" i="1"/>
  <c r="B190" i="1"/>
  <c r="L190" i="1"/>
  <c r="B189" i="1"/>
  <c r="L189" i="1"/>
  <c r="B188" i="1"/>
  <c r="L188" i="1"/>
  <c r="B187" i="1"/>
  <c r="L187" i="1"/>
  <c r="B186" i="1"/>
  <c r="L186" i="1"/>
  <c r="B185" i="1"/>
  <c r="L185" i="1"/>
  <c r="B184" i="1"/>
  <c r="L184" i="1"/>
  <c r="B183" i="1"/>
  <c r="L183" i="1"/>
  <c r="B182" i="1"/>
  <c r="L182" i="1"/>
  <c r="B181" i="1"/>
  <c r="L181" i="1"/>
  <c r="B180" i="1"/>
  <c r="L180" i="1"/>
  <c r="B179" i="1"/>
  <c r="L179" i="1"/>
  <c r="B178" i="1"/>
  <c r="L178" i="1"/>
  <c r="B177" i="1"/>
  <c r="L177" i="1"/>
  <c r="B176" i="1"/>
  <c r="L176" i="1"/>
  <c r="B175" i="1"/>
  <c r="L175" i="1"/>
  <c r="B174" i="1"/>
  <c r="L174" i="1"/>
  <c r="B173" i="1"/>
  <c r="L173" i="1"/>
  <c r="B172" i="1"/>
  <c r="L172" i="1"/>
  <c r="B171" i="1"/>
  <c r="L171" i="1"/>
  <c r="B170" i="1"/>
  <c r="L170" i="1"/>
  <c r="B169" i="1"/>
  <c r="L169" i="1"/>
  <c r="B168" i="1"/>
  <c r="L168" i="1"/>
  <c r="B167" i="1"/>
  <c r="L167" i="1"/>
  <c r="L166" i="1"/>
  <c r="B166" i="1"/>
  <c r="B165" i="1"/>
  <c r="L165" i="1"/>
  <c r="B164" i="1"/>
  <c r="L164" i="1"/>
  <c r="B163" i="1"/>
  <c r="L163" i="1"/>
  <c r="B162" i="1"/>
  <c r="B161" i="1"/>
  <c r="L161" i="1"/>
  <c r="B160" i="1"/>
  <c r="L160" i="1"/>
  <c r="B159" i="1"/>
  <c r="L159" i="1"/>
  <c r="B158" i="1"/>
  <c r="L158" i="1"/>
  <c r="B157" i="1"/>
  <c r="L157" i="1"/>
  <c r="B155" i="1" l="1"/>
  <c r="L155" i="1"/>
  <c r="B156" i="1"/>
  <c r="L156" i="1"/>
  <c r="B154" i="1"/>
  <c r="L154" i="1"/>
  <c r="B153" i="1"/>
  <c r="L153" i="1"/>
  <c r="B152" i="1"/>
  <c r="L152" i="1"/>
  <c r="B151" i="1"/>
  <c r="L151" i="1"/>
  <c r="B150" i="1"/>
  <c r="L150" i="1"/>
  <c r="B149" i="1"/>
  <c r="L149" i="1"/>
  <c r="B148" i="1"/>
  <c r="L148" i="1"/>
  <c r="B147" i="1"/>
  <c r="L147" i="1"/>
  <c r="B146" i="1"/>
  <c r="L146" i="1"/>
  <c r="B145" i="1"/>
  <c r="L145" i="1"/>
  <c r="B144" i="1"/>
  <c r="L144" i="1"/>
  <c r="B143" i="1"/>
  <c r="L143" i="1"/>
  <c r="B142" i="1"/>
  <c r="L142" i="1"/>
  <c r="B141" i="1"/>
  <c r="L141" i="1"/>
  <c r="B140" i="1"/>
  <c r="L140" i="1"/>
  <c r="B139" i="1"/>
  <c r="L139" i="1"/>
  <c r="B138" i="1"/>
  <c r="L138" i="1"/>
  <c r="B137" i="1"/>
  <c r="L137" i="1"/>
  <c r="B136" i="1"/>
  <c r="L136" i="1"/>
  <c r="B135" i="1"/>
  <c r="L135" i="1"/>
  <c r="B134" i="1"/>
  <c r="L134" i="1"/>
  <c r="B133" i="1"/>
  <c r="L133" i="1"/>
  <c r="B132" i="1"/>
  <c r="L132" i="1"/>
  <c r="B131" i="1"/>
  <c r="L131" i="1"/>
  <c r="B130" i="1"/>
  <c r="L130" i="1"/>
  <c r="B129" i="1"/>
  <c r="L129" i="1"/>
  <c r="B128" i="1"/>
  <c r="L128" i="1"/>
  <c r="B127" i="1"/>
  <c r="L127" i="1"/>
  <c r="B126" i="1"/>
  <c r="L126" i="1"/>
  <c r="B125" i="1"/>
  <c r="L125" i="1"/>
  <c r="B124" i="1"/>
  <c r="L124" i="1"/>
  <c r="B122" i="1"/>
  <c r="L122" i="1"/>
  <c r="B121" i="1"/>
  <c r="L121" i="1"/>
  <c r="B120" i="1"/>
  <c r="L120" i="1"/>
  <c r="B119" i="1"/>
  <c r="L119" i="1"/>
  <c r="B118" i="1"/>
  <c r="L118" i="1"/>
  <c r="B117" i="1"/>
  <c r="L117" i="1"/>
  <c r="B116" i="1"/>
  <c r="B115" i="1"/>
  <c r="L115" i="1"/>
  <c r="B39" i="1" l="1"/>
  <c r="L39" i="1"/>
  <c r="B114" i="1" l="1"/>
  <c r="L114" i="1"/>
  <c r="B113" i="1"/>
  <c r="L113" i="1"/>
  <c r="B112" i="1"/>
  <c r="L112" i="1"/>
  <c r="L75" i="1"/>
  <c r="L74" i="1"/>
  <c r="B66" i="1"/>
  <c r="B67" i="1"/>
  <c r="B68" i="1"/>
  <c r="B69" i="1"/>
  <c r="B70" i="1"/>
  <c r="B71" i="1"/>
  <c r="B72" i="1"/>
  <c r="B73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L66" i="1"/>
  <c r="L67" i="1"/>
  <c r="L68" i="1"/>
  <c r="L69" i="1"/>
  <c r="L70" i="1"/>
  <c r="L71" i="1"/>
  <c r="L72" i="1"/>
  <c r="L73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B65" i="1"/>
  <c r="L65" i="1"/>
  <c r="B75" i="1" l="1"/>
  <c r="B74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B51" i="1"/>
  <c r="L51" i="1"/>
  <c r="B50" i="1"/>
  <c r="L50" i="1"/>
  <c r="B49" i="1"/>
  <c r="L49" i="1"/>
  <c r="B32" i="1"/>
  <c r="B33" i="1"/>
  <c r="B34" i="1"/>
  <c r="B35" i="1"/>
  <c r="B36" i="1"/>
  <c r="B37" i="1"/>
  <c r="B38" i="1"/>
  <c r="B40" i="1"/>
  <c r="B41" i="1"/>
  <c r="B42" i="1"/>
  <c r="B43" i="1"/>
  <c r="B44" i="1"/>
  <c r="B45" i="1"/>
  <c r="B46" i="1"/>
  <c r="B47" i="1"/>
  <c r="B48" i="1"/>
  <c r="L32" i="1"/>
  <c r="L33" i="1"/>
  <c r="L34" i="1"/>
  <c r="L35" i="1"/>
  <c r="L36" i="1"/>
  <c r="L37" i="1"/>
  <c r="L38" i="1"/>
  <c r="L40" i="1"/>
  <c r="L41" i="1"/>
  <c r="L42" i="1"/>
  <c r="L43" i="1"/>
  <c r="L44" i="1"/>
  <c r="L45" i="1"/>
  <c r="L46" i="1"/>
  <c r="L47" i="1"/>
  <c r="L48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<sst xmlns="http://schemas.openxmlformats.org/spreadsheetml/2006/main" count="1891" uniqueCount="592">
  <si>
    <t>Artículos marcados que van a volver a pedirse</t>
  </si>
  <si>
    <t>Lista de inventario</t>
  </si>
  <si>
    <t>Identificador de inventario</t>
  </si>
  <si>
    <t>IN0001</t>
  </si>
  <si>
    <t>IN0002</t>
  </si>
  <si>
    <t>IN0003</t>
  </si>
  <si>
    <t>IN0004</t>
  </si>
  <si>
    <t>IN0005</t>
  </si>
  <si>
    <t>IN0006</t>
  </si>
  <si>
    <t>IN0007</t>
  </si>
  <si>
    <t>IN0008</t>
  </si>
  <si>
    <t>IN0009</t>
  </si>
  <si>
    <t>IN0010</t>
  </si>
  <si>
    <t>IN0011</t>
  </si>
  <si>
    <t>IN0012</t>
  </si>
  <si>
    <t>IN0013</t>
  </si>
  <si>
    <t>IN0014</t>
  </si>
  <si>
    <t>IN0015</t>
  </si>
  <si>
    <t>IN0016</t>
  </si>
  <si>
    <t>IN0017</t>
  </si>
  <si>
    <t>IN0018</t>
  </si>
  <si>
    <t>IN0019</t>
  </si>
  <si>
    <t>IN0020</t>
  </si>
  <si>
    <t>IN0021</t>
  </si>
  <si>
    <t>IN0022</t>
  </si>
  <si>
    <t>IN0023</t>
  </si>
  <si>
    <t>IN0024</t>
  </si>
  <si>
    <t>IN0025</t>
  </si>
  <si>
    <t>Descripción</t>
  </si>
  <si>
    <t>¿Resaltar los artículos que van a volver a pedirse?</t>
  </si>
  <si>
    <t>Precio por unidad</t>
  </si>
  <si>
    <t>Cantidad en existencias</t>
  </si>
  <si>
    <t>Valor de inventario</t>
  </si>
  <si>
    <t>Stock critico</t>
  </si>
  <si>
    <t>Bodega</t>
  </si>
  <si>
    <t>Recursos Operativos</t>
  </si>
  <si>
    <t>subdivision</t>
  </si>
  <si>
    <t>Buzo Desechable</t>
  </si>
  <si>
    <t>EPP</t>
  </si>
  <si>
    <t>Alta Utilizacion</t>
  </si>
  <si>
    <t>Bloqueador Solar</t>
  </si>
  <si>
    <t>120ml</t>
  </si>
  <si>
    <t>Baja Utilizacion</t>
  </si>
  <si>
    <t>Calcetas Térmicas</t>
  </si>
  <si>
    <t>Talla L</t>
  </si>
  <si>
    <t>Casco</t>
  </si>
  <si>
    <t>Verde</t>
  </si>
  <si>
    <t xml:space="preserve">Casco </t>
  </si>
  <si>
    <t>Blanco</t>
  </si>
  <si>
    <t>Coleto Soldador</t>
  </si>
  <si>
    <t>Chaleco Reflectante</t>
  </si>
  <si>
    <t>Chaqueta Soldador</t>
  </si>
  <si>
    <t>Talla XXL</t>
  </si>
  <si>
    <t>Talla XL</t>
  </si>
  <si>
    <t>Filtro de Mascarilla</t>
  </si>
  <si>
    <t>F700VGP3</t>
  </si>
  <si>
    <t>MGV/MHE-500</t>
  </si>
  <si>
    <t>F200VGP3</t>
  </si>
  <si>
    <t>Fono Libus</t>
  </si>
  <si>
    <t>L-320</t>
  </si>
  <si>
    <t>Guante Antigolpes</t>
  </si>
  <si>
    <t>KT0119</t>
  </si>
  <si>
    <t>Guante Cabritilla</t>
  </si>
  <si>
    <t>Antigolpes</t>
  </si>
  <si>
    <t>Medianos</t>
  </si>
  <si>
    <t>Guantes Hyflex</t>
  </si>
  <si>
    <t>Nitrilo Talla 9</t>
  </si>
  <si>
    <t>Guante Nitrilo</t>
  </si>
  <si>
    <t>Quirurgico/caja100</t>
  </si>
  <si>
    <t xml:space="preserve">Guante Soldador </t>
  </si>
  <si>
    <t>Azul</t>
  </si>
  <si>
    <t>Nombre del Articulo</t>
  </si>
  <si>
    <t>Numero de Parte</t>
  </si>
  <si>
    <t>Unidad de Medida (UN/KG/LT/MT)</t>
  </si>
  <si>
    <t>Marca</t>
  </si>
  <si>
    <t>IN0026</t>
  </si>
  <si>
    <t>IN0027</t>
  </si>
  <si>
    <t>IN0028</t>
  </si>
  <si>
    <t>IN0029</t>
  </si>
  <si>
    <t>IN0030</t>
  </si>
  <si>
    <t>IN0031</t>
  </si>
  <si>
    <t>IN0032</t>
  </si>
  <si>
    <t>IN0033</t>
  </si>
  <si>
    <t>IN0034</t>
  </si>
  <si>
    <t>IN0035</t>
  </si>
  <si>
    <t>IN0036</t>
  </si>
  <si>
    <t>IN0037</t>
  </si>
  <si>
    <t>IN0038</t>
  </si>
  <si>
    <t>IN0039</t>
  </si>
  <si>
    <t>IN0040</t>
  </si>
  <si>
    <t>IN0041</t>
  </si>
  <si>
    <t>Geologo Minero</t>
  </si>
  <si>
    <t>S</t>
  </si>
  <si>
    <t>M</t>
  </si>
  <si>
    <t>L</t>
  </si>
  <si>
    <t>XL</t>
  </si>
  <si>
    <t>XXL</t>
  </si>
  <si>
    <t>UN</t>
  </si>
  <si>
    <t xml:space="preserve"> XXL</t>
  </si>
  <si>
    <t xml:space="preserve"> XL</t>
  </si>
  <si>
    <t xml:space="preserve"> L</t>
  </si>
  <si>
    <t>TYVEC</t>
  </si>
  <si>
    <t>KUMEN</t>
  </si>
  <si>
    <t>MSA</t>
  </si>
  <si>
    <t>Gorro Soldador</t>
  </si>
  <si>
    <t>Legionario</t>
  </si>
  <si>
    <t>Antiparras</t>
  </si>
  <si>
    <t>STEELPRO</t>
  </si>
  <si>
    <t>Lentes de Seguridad</t>
  </si>
  <si>
    <t>Oscuros</t>
  </si>
  <si>
    <t>BUNKER</t>
  </si>
  <si>
    <t>Claros</t>
  </si>
  <si>
    <t xml:space="preserve">Pantalon de Soldador </t>
  </si>
  <si>
    <t>Parca</t>
  </si>
  <si>
    <t>Pijama Termico</t>
  </si>
  <si>
    <t>IN0042</t>
  </si>
  <si>
    <t>IN0043</t>
  </si>
  <si>
    <t>Ubicación</t>
  </si>
  <si>
    <t>IN0044</t>
  </si>
  <si>
    <t>IN0045</t>
  </si>
  <si>
    <t>IN0046</t>
  </si>
  <si>
    <t>IN0047</t>
  </si>
  <si>
    <t>IN0048</t>
  </si>
  <si>
    <t>IN0049</t>
  </si>
  <si>
    <t>IN0050</t>
  </si>
  <si>
    <t>IN0051</t>
  </si>
  <si>
    <t>IN0052</t>
  </si>
  <si>
    <t>IN0053</t>
  </si>
  <si>
    <t>IN0054</t>
  </si>
  <si>
    <t>IN0055</t>
  </si>
  <si>
    <t>IN0056</t>
  </si>
  <si>
    <t>IN0057</t>
  </si>
  <si>
    <t xml:space="preserve">Polar </t>
  </si>
  <si>
    <t>Protector de Oidos</t>
  </si>
  <si>
    <t>MPA101-C</t>
  </si>
  <si>
    <t>Guantes Multiflex</t>
  </si>
  <si>
    <t>Contenedor EPP</t>
  </si>
  <si>
    <t>Zapato de Seguridad</t>
  </si>
  <si>
    <t>BERING</t>
  </si>
  <si>
    <t>IN0058</t>
  </si>
  <si>
    <t>IN0059</t>
  </si>
  <si>
    <t>IN0060</t>
  </si>
  <si>
    <t>IN0061</t>
  </si>
  <si>
    <t>IN0062</t>
  </si>
  <si>
    <t>IN0063</t>
  </si>
  <si>
    <t>IN0064</t>
  </si>
  <si>
    <t>IN0065</t>
  </si>
  <si>
    <t>IN0066</t>
  </si>
  <si>
    <t>IN0067</t>
  </si>
  <si>
    <t>IN0068</t>
  </si>
  <si>
    <t>IN0069</t>
  </si>
  <si>
    <t>IN0070</t>
  </si>
  <si>
    <t>IN0071</t>
  </si>
  <si>
    <t>IN0072</t>
  </si>
  <si>
    <t>IN0073</t>
  </si>
  <si>
    <t>IN0074</t>
  </si>
  <si>
    <t>IN0075</t>
  </si>
  <si>
    <t>IN0076</t>
  </si>
  <si>
    <t>IN0077</t>
  </si>
  <si>
    <t>IN0078</t>
  </si>
  <si>
    <t>IN0079</t>
  </si>
  <si>
    <t>IN0080</t>
  </si>
  <si>
    <t>IN0081</t>
  </si>
  <si>
    <t>IN0082</t>
  </si>
  <si>
    <t>IN0083</t>
  </si>
  <si>
    <t>IN0084</t>
  </si>
  <si>
    <t>IN0085</t>
  </si>
  <si>
    <t>IN0086</t>
  </si>
  <si>
    <t>IN0087</t>
  </si>
  <si>
    <t>IN0088</t>
  </si>
  <si>
    <t>IN0089</t>
  </si>
  <si>
    <t>IN0090</t>
  </si>
  <si>
    <t>IN0091</t>
  </si>
  <si>
    <t>IN0092</t>
  </si>
  <si>
    <t>IN0093</t>
  </si>
  <si>
    <t>IN0094</t>
  </si>
  <si>
    <t>IN0095</t>
  </si>
  <si>
    <t>IN0096</t>
  </si>
  <si>
    <t>IN0097</t>
  </si>
  <si>
    <t>IN0098</t>
  </si>
  <si>
    <t>IN0099</t>
  </si>
  <si>
    <t>IN0100</t>
  </si>
  <si>
    <t>IN0101</t>
  </si>
  <si>
    <t>IN0102</t>
  </si>
  <si>
    <t>IN0103</t>
  </si>
  <si>
    <t>IN0104</t>
  </si>
  <si>
    <t>Proveedor</t>
  </si>
  <si>
    <t>Max Service Seguridad Industrial Spa</t>
  </si>
  <si>
    <t>Ingenieria y Seguridad Industrial KS Limitada</t>
  </si>
  <si>
    <t>MS TPR</t>
  </si>
  <si>
    <t>MS</t>
  </si>
  <si>
    <t>448-Cover</t>
  </si>
  <si>
    <t>Guante Multiflex</t>
  </si>
  <si>
    <t>T/9</t>
  </si>
  <si>
    <t>POWER LITE</t>
  </si>
  <si>
    <t>Pantalon Antiácido</t>
  </si>
  <si>
    <t>MONTANA</t>
  </si>
  <si>
    <t xml:space="preserve">L </t>
  </si>
  <si>
    <t>XL/ HOMBRE</t>
  </si>
  <si>
    <t>Polera Pique</t>
  </si>
  <si>
    <t>HW</t>
  </si>
  <si>
    <t>Protector labial</t>
  </si>
  <si>
    <t>SUNTIME</t>
  </si>
  <si>
    <t>CASA MS</t>
  </si>
  <si>
    <t>ROADWAY</t>
  </si>
  <si>
    <t>EN TRAYECTO</t>
  </si>
  <si>
    <t>158 UNIDADES</t>
  </si>
  <si>
    <t>47 UNIDADES</t>
  </si>
  <si>
    <t xml:space="preserve">Respirador </t>
  </si>
  <si>
    <t>S950</t>
  </si>
  <si>
    <t>AIR</t>
  </si>
  <si>
    <t>FINNING CHILE S.A</t>
  </si>
  <si>
    <t>471-7003</t>
  </si>
  <si>
    <t>360-8960</t>
  </si>
  <si>
    <t>570-1623</t>
  </si>
  <si>
    <t>7W-2326</t>
  </si>
  <si>
    <t>500-0483</t>
  </si>
  <si>
    <t>310-5912</t>
  </si>
  <si>
    <t>523-6604</t>
  </si>
  <si>
    <t>500-0481</t>
  </si>
  <si>
    <t>322-3155</t>
  </si>
  <si>
    <t>523-4988</t>
  </si>
  <si>
    <t>338-3540</t>
  </si>
  <si>
    <t>523-4987</t>
  </si>
  <si>
    <t>528-0585</t>
  </si>
  <si>
    <t>362-1163</t>
  </si>
  <si>
    <t>378-3187</t>
  </si>
  <si>
    <t>290-2288</t>
  </si>
  <si>
    <t>209-8217</t>
  </si>
  <si>
    <t>346-6688</t>
  </si>
  <si>
    <t>245-3818</t>
  </si>
  <si>
    <t>290-2287</t>
  </si>
  <si>
    <t>496-9846</t>
  </si>
  <si>
    <t>349-6267</t>
  </si>
  <si>
    <t>580-5439</t>
  </si>
  <si>
    <t>569-8036</t>
  </si>
  <si>
    <t>245-3819</t>
  </si>
  <si>
    <t>500-0957</t>
  </si>
  <si>
    <t>593-1533</t>
  </si>
  <si>
    <t>577-1436</t>
  </si>
  <si>
    <t>577-1440</t>
  </si>
  <si>
    <t>577-1435</t>
  </si>
  <si>
    <t>211-2660</t>
  </si>
  <si>
    <t>571-5253</t>
  </si>
  <si>
    <t>389-1076</t>
  </si>
  <si>
    <t>331-8108</t>
  </si>
  <si>
    <t>331-8111</t>
  </si>
  <si>
    <t>149-1912</t>
  </si>
  <si>
    <t>417-8134</t>
  </si>
  <si>
    <t>389-1079</t>
  </si>
  <si>
    <t>545-8339</t>
  </si>
  <si>
    <t>600-211-134</t>
  </si>
  <si>
    <t>1/M-911-3530</t>
  </si>
  <si>
    <t>2A5-979-1551</t>
  </si>
  <si>
    <t>600-319-5410</t>
  </si>
  <si>
    <t>600-319-3841</t>
  </si>
  <si>
    <t>600-185-6100</t>
  </si>
  <si>
    <t>20Y-62-51691</t>
  </si>
  <si>
    <t>421-60-35170</t>
  </si>
  <si>
    <t>9R-9925</t>
  </si>
  <si>
    <t>FS-20052</t>
  </si>
  <si>
    <t>FF-5767</t>
  </si>
  <si>
    <t>AF-25618</t>
  </si>
  <si>
    <t>R90T</t>
  </si>
  <si>
    <t>LF-699</t>
  </si>
  <si>
    <t>AF-25957</t>
  </si>
  <si>
    <t>IN0105</t>
  </si>
  <si>
    <t>IN0106</t>
  </si>
  <si>
    <t>IN0107</t>
  </si>
  <si>
    <t>IN0108</t>
  </si>
  <si>
    <t>IN0109</t>
  </si>
  <si>
    <t>IN0110</t>
  </si>
  <si>
    <t>IN0111</t>
  </si>
  <si>
    <t>IN0112</t>
  </si>
  <si>
    <t>IN0113</t>
  </si>
  <si>
    <t>IN0114</t>
  </si>
  <si>
    <t>IN0115</t>
  </si>
  <si>
    <t>IN0116</t>
  </si>
  <si>
    <t>IN0117</t>
  </si>
  <si>
    <t>IN0118</t>
  </si>
  <si>
    <t>IN0119</t>
  </si>
  <si>
    <t>IN0120</t>
  </si>
  <si>
    <t>IN0121</t>
  </si>
  <si>
    <t>IN0122</t>
  </si>
  <si>
    <t>IN0123</t>
  </si>
  <si>
    <t>IN0124</t>
  </si>
  <si>
    <t>IN0125</t>
  </si>
  <si>
    <t>IN0126</t>
  </si>
  <si>
    <t>IN0127</t>
  </si>
  <si>
    <t>IN0128</t>
  </si>
  <si>
    <t>IN0129</t>
  </si>
  <si>
    <t>IN0130</t>
  </si>
  <si>
    <t>IN0131</t>
  </si>
  <si>
    <t>IN0132</t>
  </si>
  <si>
    <t>IN0133</t>
  </si>
  <si>
    <t>Filtro de Aceite</t>
  </si>
  <si>
    <t>CAT</t>
  </si>
  <si>
    <t>Filtro de Combustible</t>
  </si>
  <si>
    <t>Filtro Separador</t>
  </si>
  <si>
    <t xml:space="preserve">Housing </t>
  </si>
  <si>
    <t>Filtro Hidraulico</t>
  </si>
  <si>
    <t>Filtro de Aire</t>
  </si>
  <si>
    <t>Flitro Def</t>
  </si>
  <si>
    <t>Filtro de Recirculacion</t>
  </si>
  <si>
    <t>KOMATSU</t>
  </si>
  <si>
    <t>FLEETGUARD</t>
  </si>
  <si>
    <t>PARKER</t>
  </si>
  <si>
    <t>IN0134</t>
  </si>
  <si>
    <t>IN0135</t>
  </si>
  <si>
    <t>IN0136</t>
  </si>
  <si>
    <t>IN0137</t>
  </si>
  <si>
    <t>IN0138</t>
  </si>
  <si>
    <t>IN0139</t>
  </si>
  <si>
    <t>IN0140</t>
  </si>
  <si>
    <t>IN0141</t>
  </si>
  <si>
    <t>IN0142</t>
  </si>
  <si>
    <t>IN0143</t>
  </si>
  <si>
    <t>IN0144</t>
  </si>
  <si>
    <t>IN0145</t>
  </si>
  <si>
    <t>IN0146</t>
  </si>
  <si>
    <t>IN0147</t>
  </si>
  <si>
    <t>IN0148</t>
  </si>
  <si>
    <t>DISTRIBUIDORA CUMMINS CHILE S.A.</t>
  </si>
  <si>
    <t>10w</t>
  </si>
  <si>
    <t>Aceite Hidraulico</t>
  </si>
  <si>
    <t>MOBIL</t>
  </si>
  <si>
    <t>LTS</t>
  </si>
  <si>
    <t>208Lts</t>
  </si>
  <si>
    <t>SANTA SOFIA LTDA.</t>
  </si>
  <si>
    <t>HD 30</t>
  </si>
  <si>
    <t>Aceite de Motor</t>
  </si>
  <si>
    <t>Aceite Transmicion</t>
  </si>
  <si>
    <t>HD 10w</t>
  </si>
  <si>
    <t>HD 50</t>
  </si>
  <si>
    <t>Grasa</t>
  </si>
  <si>
    <t>XHP 222</t>
  </si>
  <si>
    <t>KG</t>
  </si>
  <si>
    <t>Nuto H 32</t>
  </si>
  <si>
    <t>Coolant</t>
  </si>
  <si>
    <t>Adblue</t>
  </si>
  <si>
    <t>Bluemax</t>
  </si>
  <si>
    <t>208Lts tambor  x Litro</t>
  </si>
  <si>
    <t>Full Prot 208Lts tambor  x Litro</t>
  </si>
  <si>
    <t>Sup. Def 208Lts tambor  x Litro</t>
  </si>
  <si>
    <t>181kg tambor  x kg</t>
  </si>
  <si>
    <t>15w40 Full Prot</t>
  </si>
  <si>
    <t>15w40 Sup Def V3</t>
  </si>
  <si>
    <t>181Kg</t>
  </si>
  <si>
    <t>Aceite Motor Diesel</t>
  </si>
  <si>
    <t>Rubia 15w40</t>
  </si>
  <si>
    <t>5Lts bidon x Litro</t>
  </si>
  <si>
    <t>Rubia</t>
  </si>
  <si>
    <t>80w90</t>
  </si>
  <si>
    <t>19Lts Tineta x Litro</t>
  </si>
  <si>
    <t>Jaula</t>
  </si>
  <si>
    <t>SAE 30W</t>
  </si>
  <si>
    <t>EO15w40-LA</t>
  </si>
  <si>
    <t>460-4973</t>
  </si>
  <si>
    <t>161-8573</t>
  </si>
  <si>
    <t>8E-4194</t>
  </si>
  <si>
    <t>8E-4196</t>
  </si>
  <si>
    <t>8E-4197</t>
  </si>
  <si>
    <t>8E-1848</t>
  </si>
  <si>
    <t>9W-8215</t>
  </si>
  <si>
    <t>6Y-5540</t>
  </si>
  <si>
    <t>1U-0740</t>
  </si>
  <si>
    <t>8E-5529</t>
  </si>
  <si>
    <t>6Y-2805</t>
  </si>
  <si>
    <t>505-3990</t>
  </si>
  <si>
    <t>308-4322</t>
  </si>
  <si>
    <t>100-6666</t>
  </si>
  <si>
    <t>201-1234</t>
  </si>
  <si>
    <t>208-5235</t>
  </si>
  <si>
    <t>505-4113</t>
  </si>
  <si>
    <t>505-4000</t>
  </si>
  <si>
    <t>9W-2452</t>
  </si>
  <si>
    <t>7T-3402</t>
  </si>
  <si>
    <t>421-838-1120</t>
  </si>
  <si>
    <t>421-838-1110</t>
  </si>
  <si>
    <t>P050RC</t>
  </si>
  <si>
    <t>T167829</t>
  </si>
  <si>
    <t>LUCAS BLANDFORD MAQUINARIAS SPA.</t>
  </si>
  <si>
    <t>4T-2233</t>
  </si>
  <si>
    <t>Patio de Acopio</t>
  </si>
  <si>
    <t>Cantonera Lateral</t>
  </si>
  <si>
    <t>Motoniveladora</t>
  </si>
  <si>
    <t>Cantonera Superpuesta</t>
  </si>
  <si>
    <t>Puntera Derecha</t>
  </si>
  <si>
    <t>Bulldozer</t>
  </si>
  <si>
    <t>Puntera Izquierda</t>
  </si>
  <si>
    <t>Cuchilla Central</t>
  </si>
  <si>
    <t xml:space="preserve">Cuchilla </t>
  </si>
  <si>
    <t>Punta Ripper</t>
  </si>
  <si>
    <t>Cargador Frontal</t>
  </si>
  <si>
    <t>Segmanto de cuchilla</t>
  </si>
  <si>
    <t>Placa de Desgaste</t>
  </si>
  <si>
    <t>Protector de Vastago</t>
  </si>
  <si>
    <t>Centro de Cuchilla</t>
  </si>
  <si>
    <t>Retroexcavadora</t>
  </si>
  <si>
    <t>Cuchilla Doble Visel</t>
  </si>
  <si>
    <t>Protector Lateral</t>
  </si>
  <si>
    <t>Excavadora</t>
  </si>
  <si>
    <t>Segmento Entredientes</t>
  </si>
  <si>
    <t>Punta de Penetracion</t>
  </si>
  <si>
    <t>Adaptador de Pasador</t>
  </si>
  <si>
    <t>Punta de Cucharon Larga</t>
  </si>
  <si>
    <t>MKOMATSU CHILE S.A.</t>
  </si>
  <si>
    <t>Cuchilla de Borde</t>
  </si>
  <si>
    <t>JOHN DEERE</t>
  </si>
  <si>
    <t>IN0149</t>
  </si>
  <si>
    <t>IN0150</t>
  </si>
  <si>
    <t>IN0151</t>
  </si>
  <si>
    <t>IN0152</t>
  </si>
  <si>
    <t>IN0153</t>
  </si>
  <si>
    <t>IN0154</t>
  </si>
  <si>
    <t>IN0155</t>
  </si>
  <si>
    <t>IN0156</t>
  </si>
  <si>
    <t>IN0157</t>
  </si>
  <si>
    <t>IN0158</t>
  </si>
  <si>
    <t>IN0159</t>
  </si>
  <si>
    <t>IN0160</t>
  </si>
  <si>
    <t>IN0161</t>
  </si>
  <si>
    <t>IN0162</t>
  </si>
  <si>
    <t>IN0163</t>
  </si>
  <si>
    <t>IN0164</t>
  </si>
  <si>
    <t>IN0165</t>
  </si>
  <si>
    <t>IN0166</t>
  </si>
  <si>
    <t>IN0167</t>
  </si>
  <si>
    <t>IN0168</t>
  </si>
  <si>
    <t>IN0169</t>
  </si>
  <si>
    <t>IN0170</t>
  </si>
  <si>
    <t>IN0171</t>
  </si>
  <si>
    <t>IN0172</t>
  </si>
  <si>
    <t>IN0173</t>
  </si>
  <si>
    <t>IN0174</t>
  </si>
  <si>
    <t>IN0175</t>
  </si>
  <si>
    <t>IN0176</t>
  </si>
  <si>
    <t>IN0177</t>
  </si>
  <si>
    <t>IN0178</t>
  </si>
  <si>
    <t>IN0179</t>
  </si>
  <si>
    <t>IN0180</t>
  </si>
  <si>
    <t>IN0181</t>
  </si>
  <si>
    <t>IN0182</t>
  </si>
  <si>
    <t>IN0183</t>
  </si>
  <si>
    <t>IN0184</t>
  </si>
  <si>
    <t>IN0185</t>
  </si>
  <si>
    <t>IN0186</t>
  </si>
  <si>
    <t>IN0187</t>
  </si>
  <si>
    <t>IN0188</t>
  </si>
  <si>
    <t>1*</t>
  </si>
  <si>
    <t>Reemplazo 577-1440</t>
  </si>
  <si>
    <t>Perno de Zapata</t>
  </si>
  <si>
    <t>7T-2748</t>
  </si>
  <si>
    <t>Tuerca Perno Zapata</t>
  </si>
  <si>
    <t>7G-6442</t>
  </si>
  <si>
    <t>4J-9058</t>
  </si>
  <si>
    <t>Perno de Cuchilla D8</t>
  </si>
  <si>
    <t>5P-8250</t>
  </si>
  <si>
    <t>Golilla Perno  D8</t>
  </si>
  <si>
    <t>Tuerca Perno D8</t>
  </si>
  <si>
    <t>2J-3507</t>
  </si>
  <si>
    <t>Pasador D8</t>
  </si>
  <si>
    <t>6Y-3394</t>
  </si>
  <si>
    <t>Seguro Pasador D8</t>
  </si>
  <si>
    <t>8E-5559</t>
  </si>
  <si>
    <t>Tira de Desgaste</t>
  </si>
  <si>
    <t>276-1318</t>
  </si>
  <si>
    <t>276-1319</t>
  </si>
  <si>
    <t>446-1526</t>
  </si>
  <si>
    <t>Perno Corto</t>
  </si>
  <si>
    <t>5J-4773</t>
  </si>
  <si>
    <t>Perno Mediano</t>
  </si>
  <si>
    <t>1J-6762</t>
  </si>
  <si>
    <t>Perno Largo</t>
  </si>
  <si>
    <t>5F-8932</t>
  </si>
  <si>
    <t xml:space="preserve">Tuerca </t>
  </si>
  <si>
    <t>2J-3506</t>
  </si>
  <si>
    <t xml:space="preserve">Golilla </t>
  </si>
  <si>
    <t>S/N</t>
  </si>
  <si>
    <t>Perno</t>
  </si>
  <si>
    <t>3F-5108</t>
  </si>
  <si>
    <t>Tuerca</t>
  </si>
  <si>
    <t>4K-0367</t>
  </si>
  <si>
    <t>8T-4122</t>
  </si>
  <si>
    <t>Golilla</t>
  </si>
  <si>
    <t>436-7077</t>
  </si>
  <si>
    <t>IN0189</t>
  </si>
  <si>
    <t>IN0190</t>
  </si>
  <si>
    <t>IN0191</t>
  </si>
  <si>
    <t>IN0192</t>
  </si>
  <si>
    <t>IN0193</t>
  </si>
  <si>
    <t>IN0194</t>
  </si>
  <si>
    <t>IN0195</t>
  </si>
  <si>
    <t>IN0196</t>
  </si>
  <si>
    <t>IN0197</t>
  </si>
  <si>
    <t>IN0198</t>
  </si>
  <si>
    <t>IN0199</t>
  </si>
  <si>
    <t>IN0200</t>
  </si>
  <si>
    <t>IN0201</t>
  </si>
  <si>
    <t>IN0202</t>
  </si>
  <si>
    <t>IN0203</t>
  </si>
  <si>
    <t>IN0204</t>
  </si>
  <si>
    <t>IN0205</t>
  </si>
  <si>
    <t>IN0206</t>
  </si>
  <si>
    <t>5P-8823</t>
  </si>
  <si>
    <t>5P-8361</t>
  </si>
  <si>
    <t>Tuerca Plana</t>
  </si>
  <si>
    <t>3K-9770</t>
  </si>
  <si>
    <t>Tuerca Conica</t>
  </si>
  <si>
    <t>5P-8362</t>
  </si>
  <si>
    <t>IN0207</t>
  </si>
  <si>
    <t>IN0208</t>
  </si>
  <si>
    <t>IN0209</t>
  </si>
  <si>
    <t>IN0210</t>
  </si>
  <si>
    <t>IN0211</t>
  </si>
  <si>
    <t>IN0212</t>
  </si>
  <si>
    <t>IN0213</t>
  </si>
  <si>
    <t>IN0214</t>
  </si>
  <si>
    <t>IN0215</t>
  </si>
  <si>
    <t>IN0216</t>
  </si>
  <si>
    <t>IN0217</t>
  </si>
  <si>
    <t>IN0218</t>
  </si>
  <si>
    <t>IN0219</t>
  </si>
  <si>
    <t>IN0220</t>
  </si>
  <si>
    <t>IN0221</t>
  </si>
  <si>
    <t>IN0222</t>
  </si>
  <si>
    <t>IN0223</t>
  </si>
  <si>
    <t>IN0224</t>
  </si>
  <si>
    <t>IN0225</t>
  </si>
  <si>
    <t>IN0226</t>
  </si>
  <si>
    <t>IN0227</t>
  </si>
  <si>
    <t>IN0228</t>
  </si>
  <si>
    <t>IN0229</t>
  </si>
  <si>
    <t>IN0230</t>
  </si>
  <si>
    <t>IN0231</t>
  </si>
  <si>
    <t>IN0232</t>
  </si>
  <si>
    <t>IN0233</t>
  </si>
  <si>
    <t>IN0234</t>
  </si>
  <si>
    <t>IN0235</t>
  </si>
  <si>
    <t>Pasador de Bloqueo</t>
  </si>
  <si>
    <t>5k-1458</t>
  </si>
  <si>
    <t>608-0933</t>
  </si>
  <si>
    <t>Calce de Acero</t>
  </si>
  <si>
    <t>302-6336</t>
  </si>
  <si>
    <t>607-3675</t>
  </si>
  <si>
    <t>348-5783</t>
  </si>
  <si>
    <t>547-6549</t>
  </si>
  <si>
    <t>Correa</t>
  </si>
  <si>
    <t>6252-81-6370</t>
  </si>
  <si>
    <t>Familia</t>
  </si>
  <si>
    <t>Familia principal</t>
  </si>
  <si>
    <t>Sub familia</t>
  </si>
  <si>
    <t>llega todo</t>
  </si>
  <si>
    <t>Filtro</t>
  </si>
  <si>
    <t>Gets</t>
  </si>
  <si>
    <t>Prisa</t>
  </si>
  <si>
    <t>Café</t>
  </si>
  <si>
    <t>Nestle</t>
  </si>
  <si>
    <t>Café grande 400G</t>
  </si>
  <si>
    <t>Otros</t>
  </si>
  <si>
    <t>cafeteria</t>
  </si>
  <si>
    <t>Hoja tamaño carta</t>
  </si>
  <si>
    <t>500 hojas tamaño carta</t>
  </si>
  <si>
    <t>Equalit</t>
  </si>
  <si>
    <t>Oficina</t>
  </si>
  <si>
    <t>Bomba de alta presion</t>
  </si>
  <si>
    <t>317-8021</t>
  </si>
  <si>
    <t>Bomba de alta presión Cat 320 original</t>
  </si>
  <si>
    <t>Repuesto critico</t>
  </si>
  <si>
    <t>Pistola de impacto</t>
  </si>
  <si>
    <t>Pistola de impacto 40 volt 3/4" Makita</t>
  </si>
  <si>
    <t>Makita</t>
  </si>
  <si>
    <t>Herramienta</t>
  </si>
  <si>
    <t>Pañol</t>
  </si>
  <si>
    <t>Lubricantes y fluidos</t>
  </si>
  <si>
    <t>INSUMOS DE MANTENCIÓN</t>
  </si>
  <si>
    <t>Contenedor filtros</t>
  </si>
  <si>
    <t>Contenedor N°1</t>
  </si>
  <si>
    <t>aquí en proveedor, se debe ingresar a quien se le compro el item, cabe desatacar que esto es muy importante ya que puede existir el mismo item, pensando en numero de parte y descripción iguales pero diferente proveedor y por lo tanto distinto precio para el inventario</t>
  </si>
  <si>
    <t>Aca debe ir el nombre del articulo. Obligatorio este campo</t>
  </si>
  <si>
    <t>Este sera el numero asignado al sistema del item, sera su futuro codigo de barra, es correlativo y unico, lo debe hacer el sistema automaticamente cuando se crea el requerimiento (ya esta creado)</t>
  </si>
  <si>
    <t>El numero de parte no es obligatorio, pero es importante cuando se tiene, ya que con esto no existe margen de error, se compra exactamente lo solicitado.</t>
  </si>
  <si>
    <t>Descripción del item del inventario, información precisa y clara</t>
  </si>
  <si>
    <t>aca se debe ingresar la unidad de medida con la que se cuantifica la cantidad comprada</t>
  </si>
  <si>
    <t>marca del producto comprado</t>
  </si>
  <si>
    <t xml:space="preserve">Ingresar el valor del producto adquirido en base a su unidad de medida </t>
  </si>
  <si>
    <t>Cantidad de articulos en bodega, ouede ser cualquier bodega</t>
  </si>
  <si>
    <t>Caul es el valor en existencia, cantidad por precio unitario</t>
  </si>
  <si>
    <t>el sistema debe mandar un correo a Orlando Maldonado, Andres Cavieres, marcelo aguilera. Cuando este valor este por el minimo designado</t>
  </si>
  <si>
    <t>En que bodega esta el item?.   recordar que deben existir 5 bodegas en sistema. "00- Copiapó, bodega copiapo transito y otros"  ,  "395-Cas,  bodega central caserones", 448-cover, bodega cover" .  Crear dos bodegas más con numeros randon y editables, aun no se conocen los numeros del resto de contratos. Entonces los item codigo bodega,  ejemplo"00- Copiapó, bodega copiapo transito y otros" . Crear como maestro de bodegas para que los admin y super admin puedan crear nuevos o editar y/o eliminar.</t>
  </si>
  <si>
    <t>Este sub menu de familia es para poder filtrar los centros de costos. Aquí igual se debenn poder crear más recursos operativos y tambien mas subdivisiones, estas siempre deben ir enlazadas a algun recurso operativo. Tambien debe tener un maestro para admin y super admin... crear más y/o eliminar, editar.</t>
  </si>
  <si>
    <t>La ubicación no debe ser un campo obligatorio.  Tambien debe poder editarse por si en un futuro se compran más contenedores para almacenar.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</si>
</sst>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_);\(&quot;$&quot;#,##0.00\)"/>
    <numFmt numFmtId="165" formatCode="&quot;Reorder&quot;;&quot;&quot;;&quot;&quot;"/>
    <numFmt numFmtId="166" formatCode="&quot;Nuevo Pedido&quot;;&quot;&quot;;&quot;&quot;"/>
    <numFmt numFmtId="167" formatCode="_ [$$-340A]* #,##0.00_ ;_ [$$-340A]* \-#,##0.00_ ;_ [$$-340A]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orbel"/>
      <family val="2"/>
      <scheme val="major"/>
    </font>
    <font>
      <b/>
      <sz val="34"/>
      <color theme="6" tint="-0.24994659260841701"/>
      <name val="Corbel"/>
      <family val="2"/>
      <scheme val="major"/>
    </font>
    <font>
      <b/>
      <sz val="48"/>
      <color theme="1" tint="4.9989318521683403E-2"/>
      <name val="Corbel"/>
      <family val="2"/>
      <scheme val="major"/>
    </font>
    <font>
      <sz val="10"/>
      <color theme="1" tint="4.9989318521683403E-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 tint="0.89996032593768116"/>
        <bgColor theme="6" tint="0.79961546678060247"/>
      </patternFill>
    </fill>
  </fills>
  <borders count="3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>
      <alignment vertical="center"/>
    </xf>
    <xf numFmtId="0" fontId="3" fillId="3" borderId="0" applyNumberFormat="0" applyProtection="0">
      <alignment horizontal="left" vertical="center" indent="1"/>
    </xf>
    <xf numFmtId="0" fontId="2" fillId="4" borderId="0" applyProtection="0">
      <alignment horizontal="left" vertical="center" wrapText="1" indent="1"/>
    </xf>
    <xf numFmtId="0" fontId="6" fillId="3" borderId="0" applyNumberFormat="0" applyProtection="0">
      <alignment horizontal="right" vertical="center"/>
    </xf>
    <xf numFmtId="164" fontId="7" fillId="0" borderId="0" applyProtection="0">
      <alignment horizontal="right" vertical="center" indent="1"/>
    </xf>
    <xf numFmtId="0" fontId="7" fillId="0" borderId="0" applyProtection="0">
      <alignment horizontal="right" vertical="center" indent="1"/>
    </xf>
    <xf numFmtId="0" fontId="1" fillId="0" borderId="0" applyProtection="0">
      <alignment horizontal="center" vertical="center"/>
    </xf>
    <xf numFmtId="0" fontId="1" fillId="0" borderId="0" applyProtection="0">
      <alignment horizontal="left" vertical="center" wrapText="1" indent="1"/>
    </xf>
    <xf numFmtId="165" fontId="1" fillId="2" borderId="0">
      <alignment horizontal="left" vertical="center" indent="1"/>
    </xf>
    <xf numFmtId="0" fontId="6" fillId="3" borderId="0" applyNumberFormat="0" applyProtection="0">
      <alignment horizontal="left" vertical="center" indent="1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3" borderId="0" xfId="3">
      <alignment horizontal="right" vertical="center"/>
    </xf>
    <xf numFmtId="0" fontId="4" fillId="0" borderId="0" xfId="0" applyFont="1" applyAlignment="1">
      <alignment vertical="top"/>
    </xf>
    <xf numFmtId="0" fontId="5" fillId="0" borderId="0" xfId="0" applyFont="1">
      <alignment vertical="center"/>
    </xf>
    <xf numFmtId="0" fontId="8" fillId="3" borderId="0" xfId="3" applyFont="1">
      <alignment horizontal="right" vertical="center"/>
    </xf>
    <xf numFmtId="0" fontId="2" fillId="4" borderId="0" xfId="2">
      <alignment horizontal="left" vertical="center" wrapText="1" indent="1"/>
    </xf>
    <xf numFmtId="0" fontId="1" fillId="0" borderId="0" xfId="7">
      <alignment horizontal="left" vertical="center" wrapText="1" indent="1"/>
    </xf>
    <xf numFmtId="0" fontId="1" fillId="0" borderId="0" xfId="5" applyFont="1">
      <alignment horizontal="right" vertical="center" indent="1"/>
    </xf>
    <xf numFmtId="0" fontId="1" fillId="0" borderId="0" xfId="6">
      <alignment horizontal="center" vertical="center"/>
    </xf>
    <xf numFmtId="0" fontId="0" fillId="0" borderId="0" xfId="5" applyFont="1">
      <alignment horizontal="right" vertical="center" indent="1"/>
    </xf>
    <xf numFmtId="166" fontId="1" fillId="2" borderId="0" xfId="8" applyNumberFormat="1">
      <alignment horizontal="left" vertical="center" indent="1"/>
    </xf>
    <xf numFmtId="0" fontId="0" fillId="0" borderId="0" xfId="6" applyFont="1">
      <alignment horizontal="center" vertical="center"/>
    </xf>
    <xf numFmtId="0" fontId="3" fillId="3" borderId="0" xfId="1">
      <alignment horizontal="left" vertical="center" indent="1"/>
    </xf>
    <xf numFmtId="167" fontId="1" fillId="0" borderId="0" xfId="4" applyNumberFormat="1" applyFont="1">
      <alignment horizontal="right" vertical="center" indent="1"/>
    </xf>
    <xf numFmtId="167" fontId="6" fillId="3" borderId="0" xfId="9" applyNumberFormat="1">
      <alignment horizontal="left" vertical="center" indent="1"/>
    </xf>
    <xf numFmtId="167" fontId="0" fillId="0" borderId="0" xfId="0" applyNumberFormat="1" applyAlignment="1">
      <alignment horizontal="right"/>
    </xf>
    <xf numFmtId="167" fontId="2" fillId="4" borderId="0" xfId="2" applyNumberFormat="1">
      <alignment horizontal="left" vertical="center" wrapText="1" indent="1"/>
    </xf>
    <xf numFmtId="0" fontId="0" fillId="5" borderId="0" xfId="5" applyFont="1" applyFill="1">
      <alignment horizontal="right" vertical="center" indent="1"/>
    </xf>
    <xf numFmtId="0" fontId="2" fillId="4" borderId="1" xfId="2" applyBorder="1">
      <alignment horizontal="left" vertical="center" wrapText="1" indent="1"/>
    </xf>
    <xf numFmtId="166" fontId="0" fillId="2" borderId="0" xfId="8" applyNumberFormat="1" applyFont="1">
      <alignment horizontal="left" vertical="center" indent="1"/>
    </xf>
    <xf numFmtId="0" fontId="0" fillId="0" borderId="0" xfId="7" applyFont="1">
      <alignment horizontal="left" vertical="center" wrapText="1" indent="1"/>
    </xf>
    <xf numFmtId="167" fontId="0" fillId="0" borderId="0" xfId="4" applyNumberFormat="1" applyFont="1">
      <alignment horizontal="right" vertical="center" indent="1"/>
    </xf>
    <xf numFmtId="166" fontId="10" fillId="2" borderId="0" xfId="8" applyNumberFormat="1" applyFont="1">
      <alignment horizontal="left" vertical="center" indent="1"/>
    </xf>
    <xf numFmtId="0" fontId="10" fillId="0" borderId="0" xfId="7" applyFont="1">
      <alignment horizontal="left" vertical="center" wrapText="1" indent="1"/>
    </xf>
    <xf numFmtId="167" fontId="10" fillId="0" borderId="0" xfId="4" applyNumberFormat="1" applyFont="1">
      <alignment horizontal="right" vertical="center" indent="1"/>
    </xf>
    <xf numFmtId="0" fontId="10" fillId="0" borderId="0" xfId="5" applyFont="1">
      <alignment horizontal="right" vertical="center" indent="1"/>
    </xf>
    <xf numFmtId="0" fontId="10" fillId="5" borderId="0" xfId="5" applyFont="1" applyFill="1">
      <alignment horizontal="right" vertical="center" indent="1"/>
    </xf>
    <xf numFmtId="0" fontId="10" fillId="0" borderId="0" xfId="6" applyFont="1">
      <alignment horizontal="center" vertical="center"/>
    </xf>
    <xf numFmtId="9" fontId="1" fillId="0" borderId="0" xfId="7" applyNumberFormat="1">
      <alignment horizontal="left" vertical="center" wrapText="1" indent="1"/>
    </xf>
    <xf numFmtId="11" fontId="1" fillId="0" borderId="0" xfId="7" applyNumberFormat="1">
      <alignment horizontal="left" vertical="center" wrapText="1" indent="1"/>
    </xf>
    <xf numFmtId="0" fontId="11" fillId="0" borderId="0" xfId="5" applyFont="1">
      <alignment horizontal="right" vertical="center" indent="1"/>
    </xf>
    <xf numFmtId="0" fontId="0" fillId="0" borderId="2" xfId="0" applyBorder="1">
      <alignment vertical="center"/>
    </xf>
    <xf numFmtId="0" fontId="3" fillId="3" borderId="0" xfId="1">
      <alignment horizontal="left" vertical="center" indent="1"/>
    </xf>
    <xf numFmtId="167" fontId="6" fillId="3" borderId="0" xfId="3" applyNumberFormat="1">
      <alignment horizontal="right" vertical="center"/>
    </xf>
    <xf numFmtId="0" fontId="6" fillId="3" borderId="0" xfId="3">
      <alignment horizontal="right" vertical="center"/>
    </xf>
    <xf numFmtId="0" fontId="0" fillId="0" borderId="2" xfId="0" applyBorder="1" applyAlignment="1">
      <alignment horizontal="center" vertical="center"/>
    </xf>
  </cellXfs>
  <cellStyles count="10">
    <cellStyle name="Columna de marcas" xfId="8" xr:uid="{00000000-0005-0000-0000-000000000000}"/>
    <cellStyle name="Detalles de la tabla a la derecha" xfId="5" xr:uid="{00000000-0005-0000-0000-000001000000}"/>
    <cellStyle name="Detalles de la tabla a la izquierda" xfId="7" xr:uid="{00000000-0005-0000-0000-000002000000}"/>
    <cellStyle name="Encabezado 1" xfId="2" builtinId="16" customBuiltin="1"/>
    <cellStyle name="Moneda de la tabla" xfId="4" xr:uid="{00000000-0005-0000-0000-000006000000}"/>
    <cellStyle name="Normal" xfId="0" builtinId="0" customBuiltin="1"/>
    <cellStyle name="Suspendido" xfId="6" xr:uid="{00000000-0005-0000-0000-000008000000}"/>
    <cellStyle name="Título" xfId="1" builtinId="15" customBuiltin="1"/>
    <cellStyle name="Título 2" xfId="3" builtinId="17" customBuiltin="1"/>
    <cellStyle name="Título 3" xfId="9" builtinId="18" customBuiltin="1"/>
  </cellStyles>
  <dxfs count="20"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6" tint="0.79961546678060247"/>
          <bgColor theme="4" tint="0.89996032593768116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auto="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auto="1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auto="1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auto="1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 [$$-340A]* #,##0.00_ ;_ [$$-340A]* \-#,##0.00_ ;_ [$$-340A]* &quot;-&quot;??_ ;_ @_ "/>
      <fill>
        <patternFill patternType="none">
          <fgColor auto="1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auto="1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 [$$-340A]* #,##0.00_ ;_ [$$-340A]* \-#,##0.00_ ;_ [$$-340A]* &quot;-&quot;??_ ;_ @_ "/>
      <fill>
        <patternFill patternType="none">
          <fgColor auto="1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auto="1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auto="1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auto="1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Nuevo Pedido&quot;;&quot;&quot;;&quot;&quot;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61546678060247"/>
          <bgColor theme="4" tint="0.89996032593768116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scheme val="major"/>
      </font>
      <numFmt numFmtId="0" formatCode="General"/>
      <fill>
        <patternFill patternType="solid">
          <fgColor indexed="64"/>
          <bgColor theme="6" tint="-0.2499465926084170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color theme="0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0"/>
        </bottom>
        <vertical style="thin">
          <color theme="0"/>
        </vertical>
        <horizontal/>
      </border>
    </dxf>
    <dxf>
      <font>
        <b/>
        <i val="0"/>
        <color theme="0"/>
      </font>
      <fill>
        <patternFill>
          <bgColor theme="6" tint="-0.24994659260841701"/>
        </patternFill>
      </fill>
      <border>
        <top/>
        <bottom style="thick">
          <color theme="0"/>
        </bottom>
        <vertical style="thick">
          <color theme="0"/>
        </vertical>
      </border>
    </dxf>
    <dxf>
      <font>
        <color theme="1"/>
      </font>
      <fill>
        <patternFill patternType="solid">
          <fgColor theme="6" tint="0.79961546678060247"/>
          <bgColor theme="4" tint="0.89996032593768116"/>
        </patternFill>
      </fill>
      <border>
        <vertical/>
        <horizontal style="thick">
          <color theme="0"/>
        </horizontal>
      </border>
    </dxf>
  </dxfs>
  <tableStyles count="1" defaultTableStyle="TableStyleMedium2" defaultPivotStyle="PivotStyleLight16">
    <tableStyle name="Lista de inventario" pivot="0" count="3" xr9:uid="{00000000-0011-0000-FFFF-FFFF00000000}">
      <tableStyleElement type="wholeTable" dxfId="19"/>
      <tableStyleElement type="headerRow" dxfId="18"/>
      <tableStyleElement type="firstColumn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198708</xdr:colOff>
      <xdr:row>1</xdr:row>
      <xdr:rowOff>1865</xdr:rowOff>
    </xdr:from>
    <xdr:to>
      <xdr:col>16</xdr:col>
      <xdr:colOff>9525</xdr:colOff>
      <xdr:row>1</xdr:row>
      <xdr:rowOff>95250</xdr:rowOff>
    </xdr:to>
    <xdr:grpSp>
      <xdr:nvGrpSpPr>
        <xdr:cNvPr id="2" name="Borde del título" descr="Borde del tít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16301" y="625106"/>
          <a:ext cx="23188224" cy="93385"/>
          <a:chOff x="313008" y="630515"/>
          <a:chExt cx="11155680" cy="93385"/>
        </a:xfrm>
      </xdr:grpSpPr>
      <xdr:sp macro="" textlink="">
        <xdr:nvSpPr>
          <xdr:cNvPr id="16" name="Forma del borde del títul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17" name="Forma del borde del título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DeInventario" displayName="ListaDeInventario" ref="B6:R242" totalsRowShown="0" headerRowDxfId="16" dataDxfId="15" dataCellStyle="Detalles de la tabla a la derecha">
  <autoFilter ref="B6:R242" xr:uid="{00000000-000C-0000-FFFF-FFFF00000000}"/>
  <tableColumns count="17">
    <tableColumn id="1" xr3:uid="{00000000-0010-0000-0000-000001000000}" name="Artículos marcados que van a volver a pedirse" dataDxfId="14" dataCellStyle="Columna de marcas">
      <calculatedColumnFormula>IFERROR((ListaDeInventario[[#This Row],[Cantidad en existencias]]&lt;=ListaDeInventario[[#This Row],[Stock critico]])*(ListaDeInventario[[#This Row],[subdivision]]="")*valResaltado,0)</calculatedColumnFormula>
    </tableColumn>
    <tableColumn id="2" xr3:uid="{00000000-0010-0000-0000-000002000000}" name="Identificador de inventario" dataDxfId="13" dataCellStyle="Detalles de la tabla a la izquierda"/>
    <tableColumn id="20" xr3:uid="{A06AA69C-55AF-44AB-8193-1B0CA02F3AF4}" name="Proveedor" dataCellStyle="Detalles de la tabla a la izquierda"/>
    <tableColumn id="3" xr3:uid="{00000000-0010-0000-0000-000003000000}" name="Nombre del Articulo" dataDxfId="12" dataCellStyle="Detalles de la tabla a la izquierda"/>
    <tableColumn id="12" xr3:uid="{0CA4D3DB-E6B4-420A-91D6-0C2850A98DB6}" name="Numero de Parte" dataCellStyle="Detalles de la tabla a la izquierda"/>
    <tableColumn id="4" xr3:uid="{00000000-0010-0000-0000-000004000000}" name="Descripción" dataDxfId="11" dataCellStyle="Detalles de la tabla a la izquierda"/>
    <tableColumn id="13" xr3:uid="{4E09856E-8D06-4C17-A426-7974D803A7DD}" name="Unidad de Medida (UN/KG/LT/MT)" dataCellStyle="Detalles de la tabla a la izquierda"/>
    <tableColumn id="14" xr3:uid="{A7831484-1DFD-4528-BEC7-4B7880B22F81}" name="Marca" dataCellStyle="Detalles de la tabla a la izquierda"/>
    <tableColumn id="5" xr3:uid="{00000000-0010-0000-0000-000005000000}" name="Precio por unidad" dataDxfId="10" dataCellStyle="Moneda de la tabla"/>
    <tableColumn id="6" xr3:uid="{00000000-0010-0000-0000-000006000000}" name="Cantidad en existencias" dataDxfId="9" dataCellStyle="Detalles de la tabla a la derecha"/>
    <tableColumn id="7" xr3:uid="{00000000-0010-0000-0000-000007000000}" name="Valor de inventario" dataDxfId="8" dataCellStyle="Moneda de la tabla">
      <calculatedColumnFormula>ListaDeInventario[[#This Row],[Precio por unidad]]*ListaDeInventario[[#This Row],[Cantidad en existencias]]</calculatedColumnFormula>
    </tableColumn>
    <tableColumn id="8" xr3:uid="{00000000-0010-0000-0000-000008000000}" name="Stock critico" dataDxfId="7" dataCellStyle="Detalles de la tabla a la derecha"/>
    <tableColumn id="9" xr3:uid="{00000000-0010-0000-0000-000009000000}" name="Bodega" dataDxfId="6" dataCellStyle="Detalles de la tabla a la derecha"/>
    <tableColumn id="10" xr3:uid="{00000000-0010-0000-0000-00000A000000}" name="Recursos Operativos" dataDxfId="5" dataCellStyle="Detalles de la tabla a la derecha"/>
    <tableColumn id="11" xr3:uid="{00000000-0010-0000-0000-00000B000000}" name="subdivision" dataDxfId="4" dataCellStyle="Suspendido"/>
    <tableColumn id="16" xr3:uid="{40E74BC5-EE78-4A91-AFE1-75319671BC1E}" name="Ubicación" dataDxfId="3" dataCellStyle="Suspendido"/>
    <tableColumn id="15" xr3:uid="{1A6DFFC2-0486-4BE8-B5D7-ECCEE07E1A39}" name="EN TRAYECTO" dataDxfId="2" dataCellStyle="Detalles de la tabla a la derecha"/>
  </tableColumns>
  <tableStyleInfo name="Lista de inventario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ventory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91C1F"/>
      </a:accent1>
      <a:accent2>
        <a:srgbClr val="456185"/>
      </a:accent2>
      <a:accent3>
        <a:srgbClr val="5B9EA4"/>
      </a:accent3>
      <a:accent4>
        <a:srgbClr val="F79646"/>
      </a:accent4>
      <a:accent5>
        <a:srgbClr val="CC3300"/>
      </a:accent5>
      <a:accent6>
        <a:srgbClr val="FFCC00"/>
      </a:accent6>
      <a:hlink>
        <a:srgbClr val="859EBF"/>
      </a:hlink>
      <a:folHlink>
        <a:srgbClr val="5B9EA4"/>
      </a:folHlink>
    </a:clrScheme>
    <a:fontScheme name="44 Inventory Lis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59999389629810485"/>
    <pageSetUpPr fitToPage="1"/>
  </sheetPr>
  <dimension ref="B1:T242"/>
  <sheetViews>
    <sheetView showGridLines="0" tabSelected="1" topLeftCell="A3" zoomScale="81" zoomScaleNormal="70" workbookViewId="0">
      <pane xSplit="5" ySplit="4" topLeftCell="F220" activePane="bottomRight" state="frozen"/>
      <selection activeCell="A3" sqref="A3"/>
      <selection pane="topRight" activeCell="F3" sqref="F3"/>
      <selection pane="bottomLeft" activeCell="A7" sqref="A7"/>
      <selection pane="bottomRight" activeCell="N227" sqref="N227:N230"/>
    </sheetView>
  </sheetViews>
  <sheetFormatPr baseColWidth="10" defaultColWidth="9.140625" defaultRowHeight="30" customHeight="1" x14ac:dyDescent="0.25"/>
  <cols>
    <col min="1" max="1" width="1.7109375" customWidth="1"/>
    <col min="2" max="2" width="3" style="5" customWidth="1"/>
    <col min="3" max="3" width="21.5703125" customWidth="1"/>
    <col min="4" max="4" width="43.7109375" customWidth="1"/>
    <col min="5" max="5" width="32.7109375" customWidth="1"/>
    <col min="6" max="6" width="24.42578125" customWidth="1"/>
    <col min="7" max="7" width="22.5703125" style="1" customWidth="1"/>
    <col min="8" max="8" width="19.5703125" style="1" customWidth="1"/>
    <col min="9" max="9" width="23.28515625" style="1" customWidth="1"/>
    <col min="10" max="10" width="25.7109375" style="17" customWidth="1"/>
    <col min="11" max="11" width="18.5703125" style="1" customWidth="1"/>
    <col min="12" max="12" width="22.7109375" style="17" customWidth="1"/>
    <col min="13" max="13" width="19.85546875" style="1" customWidth="1"/>
    <col min="14" max="14" width="18.42578125" style="2" customWidth="1"/>
    <col min="15" max="15" width="32.7109375" bestFit="1" customWidth="1"/>
    <col min="16" max="17" width="21.85546875" customWidth="1"/>
    <col min="18" max="18" width="20.7109375" customWidth="1"/>
  </cols>
  <sheetData>
    <row r="1" spans="2:18" ht="49.5" customHeight="1" x14ac:dyDescent="0.25">
      <c r="B1" s="4"/>
      <c r="C1" s="34" t="s">
        <v>1</v>
      </c>
      <c r="D1" s="34"/>
      <c r="E1" s="34"/>
      <c r="F1" s="34"/>
      <c r="G1" s="34"/>
      <c r="H1" s="14"/>
      <c r="I1" s="14"/>
      <c r="J1" s="35" t="s">
        <v>29</v>
      </c>
      <c r="K1" s="36"/>
      <c r="L1" s="16"/>
      <c r="M1" s="3"/>
      <c r="N1" s="3"/>
      <c r="O1" s="6"/>
      <c r="P1" s="3"/>
      <c r="Q1" s="3"/>
    </row>
    <row r="2" spans="2:18" ht="12" customHeight="1" thickBot="1" x14ac:dyDescent="0.3"/>
    <row r="3" spans="2:18" ht="12" customHeight="1" thickBot="1" x14ac:dyDescent="0.3">
      <c r="O3" s="37" t="s">
        <v>590</v>
      </c>
      <c r="P3" s="37"/>
    </row>
    <row r="4" spans="2:18" ht="12" customHeight="1" thickBot="1" x14ac:dyDescent="0.3">
      <c r="O4" s="37" t="s">
        <v>549</v>
      </c>
      <c r="P4" s="37"/>
    </row>
    <row r="5" spans="2:18" ht="12" customHeight="1" thickBot="1" x14ac:dyDescent="0.3">
      <c r="C5" t="s">
        <v>580</v>
      </c>
      <c r="D5" t="s">
        <v>578</v>
      </c>
      <c r="E5" t="s">
        <v>579</v>
      </c>
      <c r="F5" t="s">
        <v>581</v>
      </c>
      <c r="G5" s="1" t="s">
        <v>582</v>
      </c>
      <c r="H5" s="1" t="s">
        <v>583</v>
      </c>
      <c r="I5" s="1" t="s">
        <v>584</v>
      </c>
      <c r="J5" s="17" t="s">
        <v>585</v>
      </c>
      <c r="K5" s="1" t="s">
        <v>586</v>
      </c>
      <c r="L5" s="17" t="s">
        <v>587</v>
      </c>
      <c r="M5" s="1" t="s">
        <v>588</v>
      </c>
      <c r="N5" s="2" t="s">
        <v>589</v>
      </c>
      <c r="O5" s="33" t="s">
        <v>550</v>
      </c>
      <c r="P5" s="33" t="s">
        <v>551</v>
      </c>
      <c r="Q5" t="s">
        <v>591</v>
      </c>
    </row>
    <row r="6" spans="2:18" ht="42.75" customHeight="1" x14ac:dyDescent="0.25">
      <c r="B6" s="12" t="s">
        <v>0</v>
      </c>
      <c r="C6" s="7" t="s">
        <v>2</v>
      </c>
      <c r="D6" s="7" t="s">
        <v>186</v>
      </c>
      <c r="E6" s="7" t="s">
        <v>71</v>
      </c>
      <c r="F6" s="7" t="s">
        <v>72</v>
      </c>
      <c r="G6" s="7" t="s">
        <v>28</v>
      </c>
      <c r="H6" s="7" t="s">
        <v>73</v>
      </c>
      <c r="I6" s="7" t="s">
        <v>74</v>
      </c>
      <c r="J6" s="18" t="s">
        <v>30</v>
      </c>
      <c r="K6" s="7" t="s">
        <v>31</v>
      </c>
      <c r="L6" s="18" t="s">
        <v>32</v>
      </c>
      <c r="M6" s="7" t="s">
        <v>33</v>
      </c>
      <c r="N6" s="7" t="s">
        <v>34</v>
      </c>
      <c r="O6" s="7" t="s">
        <v>35</v>
      </c>
      <c r="P6" s="7" t="s">
        <v>36</v>
      </c>
      <c r="Q6" s="7" t="s">
        <v>117</v>
      </c>
      <c r="R6" s="20" t="s">
        <v>205</v>
      </c>
    </row>
    <row r="7" spans="2:18" ht="30" customHeight="1" x14ac:dyDescent="0.25">
      <c r="B7" s="12">
        <f>IFERROR((ListaDeInventario[[#This Row],[Cantidad en existencias]]&lt;=ListaDeInventario[[#This Row],[Stock critico]])*(ListaDeInventario[[#This Row],[subdivision]]="")*valResaltado,0)</f>
        <v>0</v>
      </c>
      <c r="C7" s="8" t="s">
        <v>3</v>
      </c>
      <c r="D7" s="8" t="s">
        <v>187</v>
      </c>
      <c r="E7" s="8" t="s">
        <v>37</v>
      </c>
      <c r="F7" s="8"/>
      <c r="G7" s="8" t="s">
        <v>98</v>
      </c>
      <c r="H7" s="8" t="s">
        <v>97</v>
      </c>
      <c r="I7" s="8" t="s">
        <v>101</v>
      </c>
      <c r="J7" s="15">
        <v>3700</v>
      </c>
      <c r="K7" s="9">
        <v>139</v>
      </c>
      <c r="L7" s="15">
        <f>ListaDeInventario[[#This Row],[Precio por unidad]]*ListaDeInventario[[#This Row],[Cantidad en existencias]]</f>
        <v>514300</v>
      </c>
      <c r="M7" s="9">
        <v>50</v>
      </c>
      <c r="N7" s="9">
        <v>395</v>
      </c>
      <c r="O7" s="11" t="s">
        <v>38</v>
      </c>
      <c r="P7" s="10" t="s">
        <v>39</v>
      </c>
      <c r="Q7" s="10" t="s">
        <v>136</v>
      </c>
      <c r="R7" s="19"/>
    </row>
    <row r="8" spans="2:18" ht="30" customHeight="1" x14ac:dyDescent="0.25">
      <c r="B8" s="12">
        <f>IFERROR((ListaDeInventario[[#This Row],[Cantidad en existencias]]&lt;=ListaDeInventario[[#This Row],[Stock critico]])*(ListaDeInventario[[#This Row],[subdivision]]="")*valResaltado,0)</f>
        <v>0</v>
      </c>
      <c r="C8" s="8" t="s">
        <v>4</v>
      </c>
      <c r="D8" s="8" t="s">
        <v>187</v>
      </c>
      <c r="E8" s="8" t="s">
        <v>37</v>
      </c>
      <c r="F8" s="8"/>
      <c r="G8" s="8" t="s">
        <v>99</v>
      </c>
      <c r="H8" s="8" t="s">
        <v>97</v>
      </c>
      <c r="I8" s="8" t="s">
        <v>101</v>
      </c>
      <c r="J8" s="15">
        <v>3700</v>
      </c>
      <c r="K8" s="9">
        <v>85</v>
      </c>
      <c r="L8" s="15">
        <f>ListaDeInventario[[#This Row],[Precio por unidad]]*ListaDeInventario[[#This Row],[Cantidad en existencias]]</f>
        <v>314500</v>
      </c>
      <c r="M8" s="9">
        <v>50</v>
      </c>
      <c r="N8" s="9">
        <v>395</v>
      </c>
      <c r="O8" s="11" t="s">
        <v>38</v>
      </c>
      <c r="P8" s="10" t="s">
        <v>39</v>
      </c>
      <c r="Q8" s="10" t="s">
        <v>136</v>
      </c>
      <c r="R8" s="19"/>
    </row>
    <row r="9" spans="2:18" ht="30" customHeight="1" x14ac:dyDescent="0.25">
      <c r="B9" s="12">
        <f>IFERROR((ListaDeInventario[[#This Row],[Cantidad en existencias]]&lt;=ListaDeInventario[[#This Row],[Stock critico]])*(ListaDeInventario[[#This Row],[subdivision]]="")*valResaltado,0)</f>
        <v>0</v>
      </c>
      <c r="C9" s="8" t="s">
        <v>5</v>
      </c>
      <c r="D9" s="8" t="s">
        <v>187</v>
      </c>
      <c r="E9" s="8" t="s">
        <v>37</v>
      </c>
      <c r="F9" s="8"/>
      <c r="G9" s="8" t="s">
        <v>100</v>
      </c>
      <c r="H9" s="8" t="s">
        <v>97</v>
      </c>
      <c r="I9" s="8" t="s">
        <v>101</v>
      </c>
      <c r="J9" s="15">
        <v>3700</v>
      </c>
      <c r="K9" s="9">
        <v>100</v>
      </c>
      <c r="L9" s="15">
        <f>ListaDeInventario[[#This Row],[Precio por unidad]]*ListaDeInventario[[#This Row],[Cantidad en existencias]]</f>
        <v>370000</v>
      </c>
      <c r="M9" s="9">
        <v>50</v>
      </c>
      <c r="N9" s="9">
        <v>395</v>
      </c>
      <c r="O9" s="11" t="s">
        <v>38</v>
      </c>
      <c r="P9" s="10" t="s">
        <v>39</v>
      </c>
      <c r="Q9" s="10" t="s">
        <v>136</v>
      </c>
      <c r="R9" s="19"/>
    </row>
    <row r="10" spans="2:18" ht="30" customHeight="1" x14ac:dyDescent="0.25">
      <c r="B10" s="12">
        <f>IFERROR((ListaDeInventario[[#This Row],[Cantidad en existencias]]&lt;=ListaDeInventario[[#This Row],[Stock critico]])*(ListaDeInventario[[#This Row],[subdivision]]="")*valResaltado,0)</f>
        <v>0</v>
      </c>
      <c r="C10" s="8" t="s">
        <v>6</v>
      </c>
      <c r="D10" s="8" t="s">
        <v>188</v>
      </c>
      <c r="E10" s="8" t="s">
        <v>40</v>
      </c>
      <c r="F10" s="8"/>
      <c r="G10" s="8" t="s">
        <v>41</v>
      </c>
      <c r="H10" s="8" t="s">
        <v>97</v>
      </c>
      <c r="I10" s="8" t="s">
        <v>202</v>
      </c>
      <c r="J10" s="15">
        <v>2000</v>
      </c>
      <c r="K10" s="9">
        <v>9</v>
      </c>
      <c r="L10" s="15">
        <f>ListaDeInventario[[#This Row],[Precio por unidad]]*ListaDeInventario[[#This Row],[Cantidad en existencias]]</f>
        <v>18000</v>
      </c>
      <c r="M10" s="9">
        <v>5</v>
      </c>
      <c r="N10" s="9">
        <v>395</v>
      </c>
      <c r="O10" s="11" t="s">
        <v>38</v>
      </c>
      <c r="P10" s="10" t="s">
        <v>42</v>
      </c>
      <c r="Q10" s="10" t="s">
        <v>136</v>
      </c>
      <c r="R10" s="19"/>
    </row>
    <row r="11" spans="2:18" ht="30" customHeight="1" x14ac:dyDescent="0.25">
      <c r="B11" s="12">
        <f>IFERROR((ListaDeInventario[[#This Row],[Cantidad en existencias]]&lt;=ListaDeInventario[[#This Row],[Stock critico]])*(ListaDeInventario[[#This Row],[subdivision]]="")*valResaltado,0)</f>
        <v>0</v>
      </c>
      <c r="C11" s="8" t="s">
        <v>7</v>
      </c>
      <c r="D11" s="8" t="s">
        <v>188</v>
      </c>
      <c r="E11" s="8" t="s">
        <v>43</v>
      </c>
      <c r="F11" s="8"/>
      <c r="G11" s="8" t="s">
        <v>44</v>
      </c>
      <c r="H11" s="8" t="s">
        <v>97</v>
      </c>
      <c r="I11" s="8" t="s">
        <v>102</v>
      </c>
      <c r="J11" s="15">
        <v>2000</v>
      </c>
      <c r="K11" s="9">
        <v>0</v>
      </c>
      <c r="L11" s="15">
        <f>ListaDeInventario[[#This Row],[Precio por unidad]]*ListaDeInventario[[#This Row],[Cantidad en existencias]]</f>
        <v>0</v>
      </c>
      <c r="M11" s="9">
        <v>10</v>
      </c>
      <c r="N11" s="9">
        <v>395</v>
      </c>
      <c r="O11" s="11" t="s">
        <v>38</v>
      </c>
      <c r="P11" s="10" t="s">
        <v>42</v>
      </c>
      <c r="Q11" s="10" t="s">
        <v>136</v>
      </c>
      <c r="R11" s="19"/>
    </row>
    <row r="12" spans="2:18" ht="30" customHeight="1" x14ac:dyDescent="0.25">
      <c r="B12" s="12">
        <f>IFERROR((ListaDeInventario[[#This Row],[Cantidad en existencias]]&lt;=ListaDeInventario[[#This Row],[Stock critico]])*(ListaDeInventario[[#This Row],[subdivision]]="")*valResaltado,0)</f>
        <v>0</v>
      </c>
      <c r="C12" s="8" t="s">
        <v>8</v>
      </c>
      <c r="D12" s="8" t="s">
        <v>188</v>
      </c>
      <c r="E12" s="8" t="s">
        <v>45</v>
      </c>
      <c r="F12" s="8"/>
      <c r="G12" s="8" t="s">
        <v>46</v>
      </c>
      <c r="H12" s="8" t="s">
        <v>97</v>
      </c>
      <c r="I12" s="8" t="s">
        <v>103</v>
      </c>
      <c r="J12" s="15">
        <v>8600</v>
      </c>
      <c r="K12" s="9">
        <v>11</v>
      </c>
      <c r="L12" s="15">
        <f>ListaDeInventario[[#This Row],[Precio por unidad]]*ListaDeInventario[[#This Row],[Cantidad en existencias]]</f>
        <v>94600</v>
      </c>
      <c r="M12" s="9">
        <v>10</v>
      </c>
      <c r="N12" s="9">
        <v>395</v>
      </c>
      <c r="O12" s="11" t="s">
        <v>38</v>
      </c>
      <c r="P12" s="10" t="s">
        <v>42</v>
      </c>
      <c r="Q12" s="10" t="s">
        <v>136</v>
      </c>
      <c r="R12" s="19"/>
    </row>
    <row r="13" spans="2:18" ht="30" customHeight="1" x14ac:dyDescent="0.25">
      <c r="B13" s="12">
        <f>IFERROR((ListaDeInventario[[#This Row],[Cantidad en existencias]]&lt;=ListaDeInventario[[#This Row],[Stock critico]])*(ListaDeInventario[[#This Row],[subdivision]]="")*valResaltado,0)</f>
        <v>0</v>
      </c>
      <c r="C13" s="8" t="s">
        <v>9</v>
      </c>
      <c r="D13" s="8" t="s">
        <v>188</v>
      </c>
      <c r="E13" s="8" t="s">
        <v>47</v>
      </c>
      <c r="F13" s="8"/>
      <c r="G13" s="8" t="s">
        <v>48</v>
      </c>
      <c r="H13" s="8" t="s">
        <v>97</v>
      </c>
      <c r="I13" s="8" t="s">
        <v>103</v>
      </c>
      <c r="J13" s="15">
        <v>8600</v>
      </c>
      <c r="K13" s="9">
        <v>15</v>
      </c>
      <c r="L13" s="15">
        <f>ListaDeInventario[[#This Row],[Precio por unidad]]*ListaDeInventario[[#This Row],[Cantidad en existencias]]</f>
        <v>129000</v>
      </c>
      <c r="M13" s="9">
        <v>10</v>
      </c>
      <c r="N13" s="9">
        <v>395</v>
      </c>
      <c r="O13" s="11" t="s">
        <v>38</v>
      </c>
      <c r="P13" s="13" t="s">
        <v>42</v>
      </c>
      <c r="Q13" s="10" t="s">
        <v>136</v>
      </c>
      <c r="R13" s="19"/>
    </row>
    <row r="14" spans="2:18" ht="30" customHeight="1" x14ac:dyDescent="0.25">
      <c r="B14" s="12">
        <f>IFERROR((ListaDeInventario[[#This Row],[Cantidad en existencias]]&lt;=ListaDeInventario[[#This Row],[Stock critico]])*(ListaDeInventario[[#This Row],[subdivision]]="")*valResaltado,0)</f>
        <v>0</v>
      </c>
      <c r="C14" s="8" t="s">
        <v>10</v>
      </c>
      <c r="D14" s="8"/>
      <c r="E14" s="8" t="s">
        <v>49</v>
      </c>
      <c r="F14" s="8"/>
      <c r="G14" s="8" t="s">
        <v>44</v>
      </c>
      <c r="H14" s="8" t="s">
        <v>97</v>
      </c>
      <c r="I14" s="8"/>
      <c r="J14" s="15">
        <v>0</v>
      </c>
      <c r="K14" s="9">
        <v>6</v>
      </c>
      <c r="L14" s="15">
        <f>ListaDeInventario[[#This Row],[Precio por unidad]]*ListaDeInventario[[#This Row],[Cantidad en existencias]]</f>
        <v>0</v>
      </c>
      <c r="M14" s="9">
        <v>3</v>
      </c>
      <c r="N14" s="9">
        <v>395</v>
      </c>
      <c r="O14" s="11" t="s">
        <v>38</v>
      </c>
      <c r="P14" s="10" t="s">
        <v>42</v>
      </c>
      <c r="Q14" s="10" t="s">
        <v>136</v>
      </c>
      <c r="R14" s="19"/>
    </row>
    <row r="15" spans="2:18" ht="30" customHeight="1" x14ac:dyDescent="0.25">
      <c r="B15" s="12">
        <f>IFERROR((ListaDeInventario[[#This Row],[Cantidad en existencias]]&lt;=ListaDeInventario[[#This Row],[Stock critico]])*(ListaDeInventario[[#This Row],[subdivision]]="")*valResaltado,0)</f>
        <v>0</v>
      </c>
      <c r="C15" s="8" t="s">
        <v>11</v>
      </c>
      <c r="D15" s="8"/>
      <c r="E15" s="8" t="s">
        <v>50</v>
      </c>
      <c r="F15" s="8"/>
      <c r="G15" s="8" t="s">
        <v>44</v>
      </c>
      <c r="H15" s="8" t="s">
        <v>97</v>
      </c>
      <c r="I15" s="8"/>
      <c r="J15" s="15">
        <v>0</v>
      </c>
      <c r="K15" s="9">
        <v>0</v>
      </c>
      <c r="L15" s="15">
        <f>ListaDeInventario[[#This Row],[Precio por unidad]]*ListaDeInventario[[#This Row],[Cantidad en existencias]]</f>
        <v>0</v>
      </c>
      <c r="M15" s="9">
        <v>5</v>
      </c>
      <c r="N15" s="9">
        <v>395</v>
      </c>
      <c r="O15" s="11" t="s">
        <v>38</v>
      </c>
      <c r="P15" s="10" t="s">
        <v>42</v>
      </c>
      <c r="Q15" s="10" t="s">
        <v>136</v>
      </c>
      <c r="R15" s="19"/>
    </row>
    <row r="16" spans="2:18" ht="30" customHeight="1" x14ac:dyDescent="0.25">
      <c r="B16" s="12">
        <f>IFERROR((ListaDeInventario[[#This Row],[Cantidad en existencias]]&lt;=ListaDeInventario[[#This Row],[Stock critico]])*(ListaDeInventario[[#This Row],[subdivision]]="")*valResaltado,0)</f>
        <v>0</v>
      </c>
      <c r="C16" s="8" t="s">
        <v>12</v>
      </c>
      <c r="D16" s="8"/>
      <c r="E16" s="8" t="s">
        <v>51</v>
      </c>
      <c r="F16" s="8"/>
      <c r="G16" s="8" t="s">
        <v>52</v>
      </c>
      <c r="H16" s="8" t="s">
        <v>97</v>
      </c>
      <c r="I16" s="8"/>
      <c r="J16" s="15">
        <v>0</v>
      </c>
      <c r="K16" s="9">
        <v>2</v>
      </c>
      <c r="L16" s="15">
        <f>ListaDeInventario[[#This Row],[Precio por unidad]]*ListaDeInventario[[#This Row],[Cantidad en existencias]]</f>
        <v>0</v>
      </c>
      <c r="M16" s="9">
        <v>1</v>
      </c>
      <c r="N16" s="9">
        <v>395</v>
      </c>
      <c r="O16" s="11" t="s">
        <v>38</v>
      </c>
      <c r="P16" s="10" t="s">
        <v>42</v>
      </c>
      <c r="Q16" s="10" t="s">
        <v>136</v>
      </c>
      <c r="R16" s="19"/>
    </row>
    <row r="17" spans="2:18" ht="30" customHeight="1" x14ac:dyDescent="0.25">
      <c r="B17" s="12">
        <f>IFERROR((ListaDeInventario[[#This Row],[Cantidad en existencias]]&lt;=ListaDeInventario[[#This Row],[Stock critico]])*(ListaDeInventario[[#This Row],[subdivision]]="")*valResaltado,0)</f>
        <v>0</v>
      </c>
      <c r="C17" s="8" t="s">
        <v>13</v>
      </c>
      <c r="D17" s="8"/>
      <c r="E17" s="8" t="s">
        <v>51</v>
      </c>
      <c r="F17" s="8"/>
      <c r="G17" s="8" t="s">
        <v>53</v>
      </c>
      <c r="H17" s="8" t="s">
        <v>97</v>
      </c>
      <c r="I17" s="8"/>
      <c r="J17" s="15">
        <v>0</v>
      </c>
      <c r="K17" s="9">
        <v>1</v>
      </c>
      <c r="L17" s="15">
        <f>ListaDeInventario[[#This Row],[Precio por unidad]]*ListaDeInventario[[#This Row],[Cantidad en existencias]]</f>
        <v>0</v>
      </c>
      <c r="M17" s="9">
        <v>1</v>
      </c>
      <c r="N17" s="9">
        <v>395</v>
      </c>
      <c r="O17" s="11" t="s">
        <v>38</v>
      </c>
      <c r="P17" s="10" t="s">
        <v>42</v>
      </c>
      <c r="Q17" s="10" t="s">
        <v>136</v>
      </c>
      <c r="R17" s="19"/>
    </row>
    <row r="18" spans="2:18" ht="30" customHeight="1" x14ac:dyDescent="0.25">
      <c r="B18" s="12">
        <f>IFERROR((ListaDeInventario[[#This Row],[Cantidad en existencias]]&lt;=ListaDeInventario[[#This Row],[Stock critico]])*(ListaDeInventario[[#This Row],[subdivision]]="")*valResaltado,0)</f>
        <v>0</v>
      </c>
      <c r="C18" s="8" t="s">
        <v>14</v>
      </c>
      <c r="D18" s="8"/>
      <c r="E18" s="8" t="s">
        <v>54</v>
      </c>
      <c r="F18" s="8"/>
      <c r="G18" s="8" t="s">
        <v>55</v>
      </c>
      <c r="H18" s="8" t="s">
        <v>97</v>
      </c>
      <c r="I18" s="8"/>
      <c r="J18" s="15">
        <v>12500</v>
      </c>
      <c r="K18" s="9">
        <v>0</v>
      </c>
      <c r="L18" s="15">
        <f>ListaDeInventario[[#This Row],[Precio por unidad]]*ListaDeInventario[[#This Row],[Cantidad en existencias]]</f>
        <v>0</v>
      </c>
      <c r="M18" s="9">
        <v>5</v>
      </c>
      <c r="N18" s="9">
        <v>395</v>
      </c>
      <c r="O18" s="11" t="s">
        <v>38</v>
      </c>
      <c r="P18" s="10" t="s">
        <v>42</v>
      </c>
      <c r="Q18" s="10" t="s">
        <v>136</v>
      </c>
      <c r="R18" s="19"/>
    </row>
    <row r="19" spans="2:18" ht="30" customHeight="1" x14ac:dyDescent="0.25">
      <c r="B19" s="12">
        <f>IFERROR((ListaDeInventario[[#This Row],[Cantidad en existencias]]&lt;=ListaDeInventario[[#This Row],[Stock critico]])*(ListaDeInventario[[#This Row],[subdivision]]="")*valResaltado,0)</f>
        <v>0</v>
      </c>
      <c r="C19" s="8" t="s">
        <v>15</v>
      </c>
      <c r="D19" s="8"/>
      <c r="E19" s="8" t="s">
        <v>54</v>
      </c>
      <c r="F19" s="8"/>
      <c r="G19" s="8" t="s">
        <v>56</v>
      </c>
      <c r="H19" s="8" t="s">
        <v>97</v>
      </c>
      <c r="I19" s="8"/>
      <c r="J19" s="15">
        <v>6550</v>
      </c>
      <c r="K19" s="9">
        <v>15</v>
      </c>
      <c r="L19" s="15">
        <f>ListaDeInventario[[#This Row],[Precio por unidad]]*ListaDeInventario[[#This Row],[Cantidad en existencias]]</f>
        <v>98250</v>
      </c>
      <c r="M19" s="9">
        <v>5</v>
      </c>
      <c r="N19" s="9">
        <v>395</v>
      </c>
      <c r="O19" s="11" t="s">
        <v>38</v>
      </c>
      <c r="P19" s="10" t="s">
        <v>42</v>
      </c>
      <c r="Q19" s="10" t="s">
        <v>136</v>
      </c>
      <c r="R19" s="19"/>
    </row>
    <row r="20" spans="2:18" ht="30" customHeight="1" x14ac:dyDescent="0.25">
      <c r="B20" s="12">
        <f>IFERROR((ListaDeInventario[[#This Row],[Cantidad en existencias]]&lt;=ListaDeInventario[[#This Row],[Stock critico]])*(ListaDeInventario[[#This Row],[subdivision]]="")*valResaltado,0)</f>
        <v>0</v>
      </c>
      <c r="C20" s="8" t="s">
        <v>16</v>
      </c>
      <c r="D20" s="8"/>
      <c r="E20" s="8" t="s">
        <v>54</v>
      </c>
      <c r="F20" s="8"/>
      <c r="G20" s="8" t="s">
        <v>57</v>
      </c>
      <c r="H20" s="8" t="s">
        <v>97</v>
      </c>
      <c r="I20" s="8"/>
      <c r="J20" s="15">
        <v>5900</v>
      </c>
      <c r="K20" s="9">
        <v>6</v>
      </c>
      <c r="L20" s="15">
        <f>ListaDeInventario[[#This Row],[Precio por unidad]]*ListaDeInventario[[#This Row],[Cantidad en existencias]]</f>
        <v>35400</v>
      </c>
      <c r="M20" s="9">
        <v>5</v>
      </c>
      <c r="N20" s="9">
        <v>395</v>
      </c>
      <c r="O20" s="11" t="s">
        <v>38</v>
      </c>
      <c r="P20" s="10" t="s">
        <v>42</v>
      </c>
      <c r="Q20" s="10" t="s">
        <v>136</v>
      </c>
      <c r="R20" s="19"/>
    </row>
    <row r="21" spans="2:18" ht="30" customHeight="1" x14ac:dyDescent="0.25">
      <c r="B21" s="12">
        <f>IFERROR((ListaDeInventario[[#This Row],[Cantidad en existencias]]&lt;=ListaDeInventario[[#This Row],[Stock critico]])*(ListaDeInventario[[#This Row],[subdivision]]="")*valResaltado,0)</f>
        <v>0</v>
      </c>
      <c r="C21" s="8" t="s">
        <v>17</v>
      </c>
      <c r="D21" s="8"/>
      <c r="E21" s="8" t="s">
        <v>58</v>
      </c>
      <c r="F21" s="8"/>
      <c r="G21" s="8" t="s">
        <v>59</v>
      </c>
      <c r="H21" s="8" t="s">
        <v>97</v>
      </c>
      <c r="I21" s="8"/>
      <c r="J21" s="15">
        <v>6000</v>
      </c>
      <c r="K21" s="9">
        <v>6</v>
      </c>
      <c r="L21" s="15">
        <f>ListaDeInventario[[#This Row],[Precio por unidad]]*ListaDeInventario[[#This Row],[Cantidad en existencias]]</f>
        <v>36000</v>
      </c>
      <c r="M21" s="9">
        <v>4</v>
      </c>
      <c r="N21" s="9">
        <v>395</v>
      </c>
      <c r="O21" s="11" t="s">
        <v>38</v>
      </c>
      <c r="P21" s="10" t="s">
        <v>42</v>
      </c>
      <c r="Q21" s="10" t="s">
        <v>136</v>
      </c>
      <c r="R21" s="19"/>
    </row>
    <row r="22" spans="2:18" ht="30" customHeight="1" x14ac:dyDescent="0.25">
      <c r="B22" s="12">
        <f>IFERROR((ListaDeInventario[[#This Row],[Cantidad en existencias]]&lt;=ListaDeInventario[[#This Row],[Stock critico]])*(ListaDeInventario[[#This Row],[subdivision]]="")*valResaltado,0)</f>
        <v>0</v>
      </c>
      <c r="C22" s="8" t="s">
        <v>18</v>
      </c>
      <c r="D22" s="8" t="s">
        <v>188</v>
      </c>
      <c r="E22" s="8" t="s">
        <v>60</v>
      </c>
      <c r="F22" s="8"/>
      <c r="G22" s="8" t="s">
        <v>61</v>
      </c>
      <c r="H22" s="8" t="s">
        <v>97</v>
      </c>
      <c r="I22" s="8" t="s">
        <v>110</v>
      </c>
      <c r="J22" s="15">
        <v>4990</v>
      </c>
      <c r="K22" s="9">
        <v>7</v>
      </c>
      <c r="L22" s="15">
        <f>ListaDeInventario[[#This Row],[Precio por unidad]]*ListaDeInventario[[#This Row],[Cantidad en existencias]]</f>
        <v>34930</v>
      </c>
      <c r="M22" s="9">
        <v>10</v>
      </c>
      <c r="N22" s="9">
        <v>395</v>
      </c>
      <c r="O22" s="11" t="s">
        <v>38</v>
      </c>
      <c r="P22" s="10" t="s">
        <v>42</v>
      </c>
      <c r="Q22" s="10" t="s">
        <v>136</v>
      </c>
      <c r="R22" s="19"/>
    </row>
    <row r="23" spans="2:18" ht="30" customHeight="1" x14ac:dyDescent="0.25">
      <c r="B23" s="12">
        <f>IFERROR((ListaDeInventario[[#This Row],[Cantidad en existencias]]&lt;=ListaDeInventario[[#This Row],[Stock critico]])*(ListaDeInventario[[#This Row],[subdivision]]="")*valResaltado,0)</f>
        <v>0</v>
      </c>
      <c r="C23" s="8" t="s">
        <v>19</v>
      </c>
      <c r="D23" s="8" t="s">
        <v>187</v>
      </c>
      <c r="E23" s="8" t="s">
        <v>62</v>
      </c>
      <c r="F23" s="8"/>
      <c r="G23" s="8" t="s">
        <v>63</v>
      </c>
      <c r="H23" s="8" t="s">
        <v>97</v>
      </c>
      <c r="I23" s="8" t="s">
        <v>189</v>
      </c>
      <c r="J23" s="15">
        <v>3070</v>
      </c>
      <c r="K23" s="9">
        <v>0</v>
      </c>
      <c r="L23" s="15">
        <f>ListaDeInventario[[#This Row],[Precio por unidad]]*ListaDeInventario[[#This Row],[Cantidad en existencias]]</f>
        <v>0</v>
      </c>
      <c r="M23" s="9">
        <v>10</v>
      </c>
      <c r="N23" s="9">
        <v>395</v>
      </c>
      <c r="O23" s="11" t="s">
        <v>38</v>
      </c>
      <c r="P23" s="10" t="s">
        <v>39</v>
      </c>
      <c r="Q23" s="10" t="s">
        <v>136</v>
      </c>
      <c r="R23" s="19"/>
    </row>
    <row r="24" spans="2:18" ht="30" customHeight="1" x14ac:dyDescent="0.25">
      <c r="B24" s="12">
        <f>IFERROR((ListaDeInventario[[#This Row],[Cantidad en existencias]]&lt;=ListaDeInventario[[#This Row],[Stock critico]])*(ListaDeInventario[[#This Row],[subdivision]]="")*valResaltado,0)</f>
        <v>0</v>
      </c>
      <c r="C24" s="8" t="s">
        <v>20</v>
      </c>
      <c r="D24" s="8" t="s">
        <v>188</v>
      </c>
      <c r="E24" s="8" t="s">
        <v>62</v>
      </c>
      <c r="F24" s="8"/>
      <c r="G24" s="8" t="s">
        <v>64</v>
      </c>
      <c r="H24" s="8" t="s">
        <v>97</v>
      </c>
      <c r="I24" s="8" t="s">
        <v>110</v>
      </c>
      <c r="J24" s="15">
        <v>1800</v>
      </c>
      <c r="K24" s="9">
        <v>25</v>
      </c>
      <c r="L24" s="15">
        <f>ListaDeInventario[[#This Row],[Precio por unidad]]*ListaDeInventario[[#This Row],[Cantidad en existencias]]</f>
        <v>45000</v>
      </c>
      <c r="M24" s="9">
        <v>5</v>
      </c>
      <c r="N24" s="9">
        <v>395</v>
      </c>
      <c r="O24" s="11" t="s">
        <v>38</v>
      </c>
      <c r="P24" s="10" t="s">
        <v>42</v>
      </c>
      <c r="Q24" s="10" t="s">
        <v>136</v>
      </c>
      <c r="R24" s="19"/>
    </row>
    <row r="25" spans="2:18" ht="30" customHeight="1" x14ac:dyDescent="0.25">
      <c r="B25" s="12">
        <f>IFERROR((ListaDeInventario[[#This Row],[Cantidad en existencias]]&lt;=ListaDeInventario[[#This Row],[Stock critico]])*(ListaDeInventario[[#This Row],[subdivision]]="")*valResaltado,0)</f>
        <v>0</v>
      </c>
      <c r="C25" s="8" t="s">
        <v>21</v>
      </c>
      <c r="D25" s="8" t="s">
        <v>187</v>
      </c>
      <c r="E25" s="8" t="s">
        <v>65</v>
      </c>
      <c r="F25" s="8"/>
      <c r="G25" s="8" t="s">
        <v>66</v>
      </c>
      <c r="H25" s="8" t="s">
        <v>97</v>
      </c>
      <c r="I25" s="8" t="s">
        <v>190</v>
      </c>
      <c r="J25" s="15">
        <v>1700</v>
      </c>
      <c r="K25" s="9">
        <v>20</v>
      </c>
      <c r="L25" s="15">
        <f>ListaDeInventario[[#This Row],[Precio por unidad]]*ListaDeInventario[[#This Row],[Cantidad en existencias]]</f>
        <v>34000</v>
      </c>
      <c r="M25" s="9">
        <v>15</v>
      </c>
      <c r="N25" s="9">
        <v>395</v>
      </c>
      <c r="O25" s="11" t="s">
        <v>38</v>
      </c>
      <c r="P25" s="10" t="s">
        <v>39</v>
      </c>
      <c r="Q25" s="10" t="s">
        <v>136</v>
      </c>
      <c r="R25" s="19"/>
    </row>
    <row r="26" spans="2:18" ht="30" customHeight="1" x14ac:dyDescent="0.25">
      <c r="B26" s="12">
        <f>IFERROR((ListaDeInventario[[#This Row],[Cantidad en existencias]]&lt;=ListaDeInventario[[#This Row],[Stock critico]])*(ListaDeInventario[[#This Row],[subdivision]]="")*valResaltado,0)</f>
        <v>0</v>
      </c>
      <c r="C26" s="8" t="s">
        <v>22</v>
      </c>
      <c r="D26" s="8" t="s">
        <v>188</v>
      </c>
      <c r="E26" s="8" t="s">
        <v>67</v>
      </c>
      <c r="F26" s="8"/>
      <c r="G26" s="8" t="s">
        <v>46</v>
      </c>
      <c r="H26" s="8" t="s">
        <v>97</v>
      </c>
      <c r="I26" s="8" t="s">
        <v>110</v>
      </c>
      <c r="J26" s="15">
        <v>700</v>
      </c>
      <c r="K26" s="9">
        <v>20</v>
      </c>
      <c r="L26" s="15">
        <f>ListaDeInventario[[#This Row],[Precio por unidad]]*ListaDeInventario[[#This Row],[Cantidad en existencias]]</f>
        <v>14000</v>
      </c>
      <c r="M26" s="9">
        <v>10</v>
      </c>
      <c r="N26" s="9">
        <v>395</v>
      </c>
      <c r="O26" s="11" t="s">
        <v>38</v>
      </c>
      <c r="P26" s="10" t="s">
        <v>42</v>
      </c>
      <c r="Q26" s="10" t="s">
        <v>136</v>
      </c>
      <c r="R26" s="19"/>
    </row>
    <row r="27" spans="2:18" ht="30" customHeight="1" x14ac:dyDescent="0.25">
      <c r="B27" s="12">
        <f>IFERROR((ListaDeInventario[[#This Row],[Cantidad en existencias]]&lt;=ListaDeInventario[[#This Row],[Stock critico]])*(ListaDeInventario[[#This Row],[subdivision]]="")*valResaltado,0)</f>
        <v>0</v>
      </c>
      <c r="C27" s="8" t="s">
        <v>23</v>
      </c>
      <c r="D27" s="8" t="s">
        <v>188</v>
      </c>
      <c r="E27" s="8" t="s">
        <v>67</v>
      </c>
      <c r="F27" s="8"/>
      <c r="G27" s="8" t="s">
        <v>68</v>
      </c>
      <c r="H27" s="8" t="s">
        <v>97</v>
      </c>
      <c r="I27" s="8" t="s">
        <v>110</v>
      </c>
      <c r="J27" s="15">
        <v>2700</v>
      </c>
      <c r="K27" s="9">
        <v>0</v>
      </c>
      <c r="L27" s="15">
        <f>ListaDeInventario[[#This Row],[Precio por unidad]]*ListaDeInventario[[#This Row],[Cantidad en existencias]]</f>
        <v>0</v>
      </c>
      <c r="M27" s="9">
        <v>3</v>
      </c>
      <c r="N27" s="9">
        <v>395</v>
      </c>
      <c r="O27" s="11" t="s">
        <v>38</v>
      </c>
      <c r="P27" s="10" t="s">
        <v>42</v>
      </c>
      <c r="Q27" s="10" t="s">
        <v>136</v>
      </c>
      <c r="R27" s="19"/>
    </row>
    <row r="28" spans="2:18" ht="30" customHeight="1" x14ac:dyDescent="0.25">
      <c r="B28" s="12">
        <f>IFERROR((ListaDeInventario[[#This Row],[Cantidad en existencias]]&lt;=ListaDeInventario[[#This Row],[Stock critico]])*(ListaDeInventario[[#This Row],[subdivision]]="")*valResaltado,0)</f>
        <v>0</v>
      </c>
      <c r="C28" s="8" t="s">
        <v>24</v>
      </c>
      <c r="D28" s="8"/>
      <c r="E28" s="8" t="s">
        <v>69</v>
      </c>
      <c r="F28" s="8"/>
      <c r="G28" s="8" t="s">
        <v>70</v>
      </c>
      <c r="H28" s="8" t="s">
        <v>97</v>
      </c>
      <c r="I28" s="8"/>
      <c r="J28" s="15">
        <v>3850</v>
      </c>
      <c r="K28" s="9">
        <v>4</v>
      </c>
      <c r="L28" s="15">
        <f>ListaDeInventario[[#This Row],[Precio por unidad]]*ListaDeInventario[[#This Row],[Cantidad en existencias]]</f>
        <v>15400</v>
      </c>
      <c r="M28" s="9">
        <v>4</v>
      </c>
      <c r="N28" s="9">
        <v>395</v>
      </c>
      <c r="O28" s="11" t="s">
        <v>38</v>
      </c>
      <c r="P28" s="10" t="s">
        <v>42</v>
      </c>
      <c r="Q28" s="10" t="s">
        <v>136</v>
      </c>
      <c r="R28" s="19"/>
    </row>
    <row r="29" spans="2:18" ht="30" customHeight="1" x14ac:dyDescent="0.25">
      <c r="B29" s="12">
        <f>IFERROR((ListaDeInventario[[#This Row],[Cantidad en existencias]]&lt;=ListaDeInventario[[#This Row],[Stock critico]])*(ListaDeInventario[[#This Row],[subdivision]]="")*valResaltado,0)</f>
        <v>0</v>
      </c>
      <c r="C29" s="8" t="s">
        <v>25</v>
      </c>
      <c r="D29" s="8" t="s">
        <v>188</v>
      </c>
      <c r="E29" s="8" t="s">
        <v>91</v>
      </c>
      <c r="F29" s="8"/>
      <c r="G29" s="8" t="s">
        <v>92</v>
      </c>
      <c r="H29" s="8" t="s">
        <v>97</v>
      </c>
      <c r="I29" s="8" t="s">
        <v>110</v>
      </c>
      <c r="J29" s="15">
        <v>13000</v>
      </c>
      <c r="K29" s="9">
        <v>6</v>
      </c>
      <c r="L29" s="15">
        <f>ListaDeInventario[[#This Row],[Precio por unidad]]*ListaDeInventario[[#This Row],[Cantidad en existencias]]</f>
        <v>78000</v>
      </c>
      <c r="M29" s="9">
        <v>5</v>
      </c>
      <c r="N29" s="9">
        <v>395</v>
      </c>
      <c r="O29" s="11" t="s">
        <v>38</v>
      </c>
      <c r="P29" s="10" t="s">
        <v>39</v>
      </c>
      <c r="Q29" s="10" t="s">
        <v>136</v>
      </c>
      <c r="R29" s="19"/>
    </row>
    <row r="30" spans="2:18" ht="30" customHeight="1" x14ac:dyDescent="0.25">
      <c r="B30" s="12">
        <f>IFERROR((ListaDeInventario[[#This Row],[Cantidad en existencias]]&lt;=ListaDeInventario[[#This Row],[Stock critico]])*(ListaDeInventario[[#This Row],[subdivision]]="")*valResaltado,0)</f>
        <v>0</v>
      </c>
      <c r="C30" s="8" t="s">
        <v>26</v>
      </c>
      <c r="D30" s="8" t="s">
        <v>188</v>
      </c>
      <c r="E30" s="8" t="s">
        <v>91</v>
      </c>
      <c r="F30" s="8"/>
      <c r="G30" s="8" t="s">
        <v>93</v>
      </c>
      <c r="H30" s="8" t="s">
        <v>97</v>
      </c>
      <c r="I30" s="8" t="s">
        <v>110</v>
      </c>
      <c r="J30" s="15">
        <v>13000</v>
      </c>
      <c r="K30" s="9">
        <v>0</v>
      </c>
      <c r="L30" s="15">
        <f>ListaDeInventario[[#This Row],[Precio por unidad]]*ListaDeInventario[[#This Row],[Cantidad en existencias]]</f>
        <v>0</v>
      </c>
      <c r="M30" s="9">
        <v>5</v>
      </c>
      <c r="N30" s="9">
        <v>395</v>
      </c>
      <c r="O30" s="11" t="s">
        <v>38</v>
      </c>
      <c r="P30" s="10" t="s">
        <v>39</v>
      </c>
      <c r="Q30" s="10" t="s">
        <v>136</v>
      </c>
      <c r="R30" s="19"/>
    </row>
    <row r="31" spans="2:18" ht="30" customHeight="1" x14ac:dyDescent="0.25">
      <c r="B31" s="12">
        <f>IFERROR((ListaDeInventario[[#This Row],[Cantidad en existencias]]&lt;=ListaDeInventario[[#This Row],[Stock critico]])*(ListaDeInventario[[#This Row],[subdivision]]="")*valResaltado,0)</f>
        <v>0</v>
      </c>
      <c r="C31" s="8" t="s">
        <v>27</v>
      </c>
      <c r="D31" s="8" t="s">
        <v>188</v>
      </c>
      <c r="E31" s="8" t="s">
        <v>91</v>
      </c>
      <c r="F31" s="8"/>
      <c r="G31" s="8" t="s">
        <v>94</v>
      </c>
      <c r="H31" s="8" t="s">
        <v>97</v>
      </c>
      <c r="I31" s="8" t="s">
        <v>110</v>
      </c>
      <c r="J31" s="15">
        <v>13000</v>
      </c>
      <c r="K31" s="9">
        <v>0</v>
      </c>
      <c r="L31" s="15">
        <f>ListaDeInventario[[#This Row],[Precio por unidad]]*ListaDeInventario[[#This Row],[Cantidad en existencias]]</f>
        <v>0</v>
      </c>
      <c r="M31" s="9">
        <v>5</v>
      </c>
      <c r="N31" s="9">
        <v>395</v>
      </c>
      <c r="O31" s="11" t="s">
        <v>38</v>
      </c>
      <c r="P31" s="10" t="s">
        <v>39</v>
      </c>
      <c r="Q31" s="10" t="s">
        <v>136</v>
      </c>
      <c r="R31" s="19"/>
    </row>
    <row r="32" spans="2:18" ht="30" customHeight="1" x14ac:dyDescent="0.25">
      <c r="B32" s="21">
        <f>IFERROR((ListaDeInventario[[#This Row],[Cantidad en existencias]]&lt;=ListaDeInventario[[#This Row],[Stock critico]])*(ListaDeInventario[[#This Row],[subdivision]]="")*valResaltado,0)</f>
        <v>0</v>
      </c>
      <c r="C32" s="8" t="s">
        <v>75</v>
      </c>
      <c r="D32" s="8" t="s">
        <v>188</v>
      </c>
      <c r="E32" s="22" t="s">
        <v>91</v>
      </c>
      <c r="F32" s="8"/>
      <c r="G32" s="22" t="s">
        <v>95</v>
      </c>
      <c r="H32" s="8" t="s">
        <v>97</v>
      </c>
      <c r="I32" s="8" t="s">
        <v>110</v>
      </c>
      <c r="J32" s="23">
        <v>13000</v>
      </c>
      <c r="K32" s="11">
        <v>0</v>
      </c>
      <c r="L32" s="23">
        <f>ListaDeInventario[[#This Row],[Precio por unidad]]*ListaDeInventario[[#This Row],[Cantidad en existencias]]</f>
        <v>0</v>
      </c>
      <c r="M32" s="11">
        <v>5</v>
      </c>
      <c r="N32" s="11">
        <v>395</v>
      </c>
      <c r="O32" s="11" t="s">
        <v>38</v>
      </c>
      <c r="P32" s="13" t="s">
        <v>39</v>
      </c>
      <c r="Q32" s="10" t="s">
        <v>136</v>
      </c>
      <c r="R32" s="19"/>
    </row>
    <row r="33" spans="2:18" ht="30" customHeight="1" x14ac:dyDescent="0.25">
      <c r="B33" s="21">
        <f>IFERROR((ListaDeInventario[[#This Row],[Cantidad en existencias]]&lt;=ListaDeInventario[[#This Row],[Stock critico]])*(ListaDeInventario[[#This Row],[subdivision]]="")*valResaltado,0)</f>
        <v>0</v>
      </c>
      <c r="C33" s="8" t="s">
        <v>76</v>
      </c>
      <c r="D33" s="8" t="s">
        <v>188</v>
      </c>
      <c r="E33" s="22" t="s">
        <v>91</v>
      </c>
      <c r="F33" s="8"/>
      <c r="G33" s="22" t="s">
        <v>96</v>
      </c>
      <c r="H33" s="8" t="s">
        <v>97</v>
      </c>
      <c r="I33" s="8" t="s">
        <v>110</v>
      </c>
      <c r="J33" s="23">
        <v>13000</v>
      </c>
      <c r="K33" s="11">
        <v>0</v>
      </c>
      <c r="L33" s="23">
        <f>ListaDeInventario[[#This Row],[Precio por unidad]]*ListaDeInventario[[#This Row],[Cantidad en existencias]]</f>
        <v>0</v>
      </c>
      <c r="M33" s="11">
        <v>5</v>
      </c>
      <c r="N33" s="11">
        <v>395</v>
      </c>
      <c r="O33" s="11" t="s">
        <v>38</v>
      </c>
      <c r="P33" s="13" t="s">
        <v>39</v>
      </c>
      <c r="Q33" s="10" t="s">
        <v>136</v>
      </c>
      <c r="R33" s="19"/>
    </row>
    <row r="34" spans="2:18" ht="30" customHeight="1" x14ac:dyDescent="0.25">
      <c r="B34" s="21">
        <f>IFERROR((ListaDeInventario[[#This Row],[Cantidad en existencias]]&lt;=ListaDeInventario[[#This Row],[Stock critico]])*(ListaDeInventario[[#This Row],[subdivision]]="")*valResaltado,0)</f>
        <v>0</v>
      </c>
      <c r="C34" s="8" t="s">
        <v>77</v>
      </c>
      <c r="D34" s="8"/>
      <c r="E34" s="22" t="s">
        <v>104</v>
      </c>
      <c r="F34" s="8"/>
      <c r="G34" s="22" t="s">
        <v>94</v>
      </c>
      <c r="H34" s="8" t="s">
        <v>97</v>
      </c>
      <c r="I34" s="8"/>
      <c r="J34" s="23">
        <v>0</v>
      </c>
      <c r="K34" s="11">
        <v>1</v>
      </c>
      <c r="L34" s="23">
        <f>ListaDeInventario[[#This Row],[Precio por unidad]]*ListaDeInventario[[#This Row],[Cantidad en existencias]]</f>
        <v>0</v>
      </c>
      <c r="M34" s="11">
        <v>4</v>
      </c>
      <c r="N34" s="11">
        <v>395</v>
      </c>
      <c r="O34" s="11" t="s">
        <v>38</v>
      </c>
      <c r="P34" s="13" t="s">
        <v>42</v>
      </c>
      <c r="Q34" s="10" t="s">
        <v>136</v>
      </c>
      <c r="R34" s="19"/>
    </row>
    <row r="35" spans="2:18" ht="30" customHeight="1" x14ac:dyDescent="0.25">
      <c r="B35" s="21">
        <f>IFERROR((ListaDeInventario[[#This Row],[Cantidad en existencias]]&lt;=ListaDeInventario[[#This Row],[Stock critico]])*(ListaDeInventario[[#This Row],[subdivision]]="")*valResaltado,0)</f>
        <v>0</v>
      </c>
      <c r="C35" s="8" t="s">
        <v>78</v>
      </c>
      <c r="D35" s="8"/>
      <c r="E35" s="22" t="s">
        <v>105</v>
      </c>
      <c r="F35" s="8"/>
      <c r="G35" s="22" t="s">
        <v>94</v>
      </c>
      <c r="H35" s="8" t="s">
        <v>97</v>
      </c>
      <c r="I35" s="8"/>
      <c r="J35" s="23">
        <v>0</v>
      </c>
      <c r="K35" s="11">
        <v>25</v>
      </c>
      <c r="L35" s="23">
        <f>ListaDeInventario[[#This Row],[Precio por unidad]]*ListaDeInventario[[#This Row],[Cantidad en existencias]]</f>
        <v>0</v>
      </c>
      <c r="M35" s="11">
        <v>10</v>
      </c>
      <c r="N35" s="11">
        <v>395</v>
      </c>
      <c r="O35" s="11" t="s">
        <v>38</v>
      </c>
      <c r="P35" s="13" t="s">
        <v>42</v>
      </c>
      <c r="Q35" s="10" t="s">
        <v>136</v>
      </c>
      <c r="R35" s="19"/>
    </row>
    <row r="36" spans="2:18" ht="30" customHeight="1" x14ac:dyDescent="0.25">
      <c r="B36" s="21">
        <f>IFERROR((ListaDeInventario[[#This Row],[Cantidad en existencias]]&lt;=ListaDeInventario[[#This Row],[Stock critico]])*(ListaDeInventario[[#This Row],[subdivision]]="")*valResaltado,0)</f>
        <v>0</v>
      </c>
      <c r="C36" s="8" t="s">
        <v>79</v>
      </c>
      <c r="D36" s="8" t="s">
        <v>188</v>
      </c>
      <c r="E36" s="22" t="s">
        <v>108</v>
      </c>
      <c r="F36" s="8"/>
      <c r="G36" s="22" t="s">
        <v>106</v>
      </c>
      <c r="H36" s="8" t="s">
        <v>97</v>
      </c>
      <c r="I36" s="8" t="s">
        <v>107</v>
      </c>
      <c r="J36" s="23">
        <v>4700</v>
      </c>
      <c r="K36" s="11">
        <v>0</v>
      </c>
      <c r="L36" s="23">
        <f>ListaDeInventario[[#This Row],[Precio por unidad]]*ListaDeInventario[[#This Row],[Cantidad en existencias]]</f>
        <v>0</v>
      </c>
      <c r="M36" s="11">
        <v>10</v>
      </c>
      <c r="N36" s="11">
        <v>395</v>
      </c>
      <c r="O36" s="11" t="s">
        <v>38</v>
      </c>
      <c r="P36" s="13" t="s">
        <v>39</v>
      </c>
      <c r="Q36" s="10" t="s">
        <v>136</v>
      </c>
      <c r="R36" s="19"/>
    </row>
    <row r="37" spans="2:18" ht="30" customHeight="1" x14ac:dyDescent="0.25">
      <c r="B37" s="21">
        <f>IFERROR((ListaDeInventario[[#This Row],[Cantidad en existencias]]&lt;=ListaDeInventario[[#This Row],[Stock critico]])*(ListaDeInventario[[#This Row],[subdivision]]="")*valResaltado,0)</f>
        <v>0</v>
      </c>
      <c r="C37" s="8" t="s">
        <v>80</v>
      </c>
      <c r="D37" s="8" t="s">
        <v>188</v>
      </c>
      <c r="E37" s="22" t="s">
        <v>108</v>
      </c>
      <c r="F37" s="8"/>
      <c r="G37" s="22" t="s">
        <v>109</v>
      </c>
      <c r="H37" s="8" t="s">
        <v>97</v>
      </c>
      <c r="I37" s="8" t="s">
        <v>110</v>
      </c>
      <c r="J37" s="23">
        <v>900</v>
      </c>
      <c r="K37" s="11">
        <v>60</v>
      </c>
      <c r="L37" s="23">
        <f>ListaDeInventario[[#This Row],[Precio por unidad]]*ListaDeInventario[[#This Row],[Cantidad en existencias]]</f>
        <v>54000</v>
      </c>
      <c r="M37" s="11">
        <v>15</v>
      </c>
      <c r="N37" s="11">
        <v>395</v>
      </c>
      <c r="O37" s="11" t="s">
        <v>38</v>
      </c>
      <c r="P37" s="13" t="s">
        <v>39</v>
      </c>
      <c r="Q37" s="10" t="s">
        <v>136</v>
      </c>
      <c r="R37" s="19"/>
    </row>
    <row r="38" spans="2:18" ht="30" customHeight="1" x14ac:dyDescent="0.25">
      <c r="B38" s="21">
        <f>IFERROR((ListaDeInventario[[#This Row],[Cantidad en existencias]]&lt;=ListaDeInventario[[#This Row],[Stock critico]])*(ListaDeInventario[[#This Row],[subdivision]]="")*valResaltado,0)</f>
        <v>0</v>
      </c>
      <c r="C38" s="8" t="s">
        <v>81</v>
      </c>
      <c r="D38" s="8" t="s">
        <v>188</v>
      </c>
      <c r="E38" s="22" t="s">
        <v>108</v>
      </c>
      <c r="F38" s="8"/>
      <c r="G38" s="22" t="s">
        <v>111</v>
      </c>
      <c r="H38" s="8" t="s">
        <v>97</v>
      </c>
      <c r="I38" s="8" t="s">
        <v>110</v>
      </c>
      <c r="J38" s="23">
        <v>900</v>
      </c>
      <c r="K38" s="11">
        <v>40</v>
      </c>
      <c r="L38" s="23">
        <f>ListaDeInventario[[#This Row],[Precio por unidad]]*ListaDeInventario[[#This Row],[Cantidad en existencias]]</f>
        <v>36000</v>
      </c>
      <c r="M38" s="11">
        <v>15</v>
      </c>
      <c r="N38" s="11">
        <v>395</v>
      </c>
      <c r="O38" s="11" t="s">
        <v>38</v>
      </c>
      <c r="P38" s="13" t="s">
        <v>39</v>
      </c>
      <c r="Q38" s="10" t="s">
        <v>136</v>
      </c>
      <c r="R38" s="19"/>
    </row>
    <row r="39" spans="2:18" ht="30" customHeight="1" x14ac:dyDescent="0.25">
      <c r="B39" s="24">
        <f>IFERROR((ListaDeInventario[[#This Row],[Cantidad en existencias]]&lt;=ListaDeInventario[[#This Row],[Stock critico]])*(ListaDeInventario[[#This Row],[subdivision]]="")*valResaltado,0)</f>
        <v>0</v>
      </c>
      <c r="C39" s="25"/>
      <c r="D39" s="8" t="s">
        <v>188</v>
      </c>
      <c r="E39" s="22" t="s">
        <v>208</v>
      </c>
      <c r="F39" s="8"/>
      <c r="G39" s="22" t="s">
        <v>209</v>
      </c>
      <c r="H39" s="8" t="s">
        <v>97</v>
      </c>
      <c r="I39" s="8" t="s">
        <v>210</v>
      </c>
      <c r="J39" s="26">
        <v>14000</v>
      </c>
      <c r="K39" s="27">
        <v>18</v>
      </c>
      <c r="L39" s="26">
        <f>ListaDeInventario[[#This Row],[Precio por unidad]]*ListaDeInventario[[#This Row],[Cantidad en existencias]]</f>
        <v>252000</v>
      </c>
      <c r="M39" s="27">
        <v>10</v>
      </c>
      <c r="N39" s="27">
        <v>395</v>
      </c>
      <c r="O39" s="11" t="s">
        <v>38</v>
      </c>
      <c r="P39" s="13" t="s">
        <v>42</v>
      </c>
      <c r="Q39" s="13" t="s">
        <v>136</v>
      </c>
      <c r="R39" s="28"/>
    </row>
    <row r="40" spans="2:18" ht="30" customHeight="1" x14ac:dyDescent="0.25">
      <c r="B40" s="21">
        <f>IFERROR((ListaDeInventario[[#This Row],[Cantidad en existencias]]&lt;=ListaDeInventario[[#This Row],[Stock critico]])*(ListaDeInventario[[#This Row],[subdivision]]="")*valResaltado,0)</f>
        <v>0</v>
      </c>
      <c r="C40" s="8" t="s">
        <v>82</v>
      </c>
      <c r="D40" s="8"/>
      <c r="E40" s="22" t="s">
        <v>112</v>
      </c>
      <c r="F40" s="8"/>
      <c r="G40" s="22" t="s">
        <v>96</v>
      </c>
      <c r="H40" s="8" t="s">
        <v>97</v>
      </c>
      <c r="I40" s="8"/>
      <c r="J40" s="23">
        <v>0</v>
      </c>
      <c r="K40" s="11">
        <v>2</v>
      </c>
      <c r="L40" s="23">
        <f>ListaDeInventario[[#This Row],[Precio por unidad]]*ListaDeInventario[[#This Row],[Cantidad en existencias]]</f>
        <v>0</v>
      </c>
      <c r="M40" s="11">
        <v>4</v>
      </c>
      <c r="N40" s="11">
        <v>395</v>
      </c>
      <c r="O40" s="11" t="s">
        <v>38</v>
      </c>
      <c r="P40" s="13" t="s">
        <v>42</v>
      </c>
      <c r="Q40" s="10" t="s">
        <v>136</v>
      </c>
      <c r="R40" s="19"/>
    </row>
    <row r="41" spans="2:18" ht="30" customHeight="1" x14ac:dyDescent="0.25">
      <c r="B41" s="21">
        <f>IFERROR((ListaDeInventario[[#This Row],[Cantidad en existencias]]&lt;=ListaDeInventario[[#This Row],[Stock critico]])*(ListaDeInventario[[#This Row],[subdivision]]="")*valResaltado,0)</f>
        <v>0</v>
      </c>
      <c r="C41" s="8" t="s">
        <v>83</v>
      </c>
      <c r="D41" s="8" t="s">
        <v>188</v>
      </c>
      <c r="E41" s="22" t="s">
        <v>113</v>
      </c>
      <c r="F41" s="8"/>
      <c r="G41" s="22" t="s">
        <v>92</v>
      </c>
      <c r="H41" s="8" t="s">
        <v>97</v>
      </c>
      <c r="I41" s="8" t="s">
        <v>110</v>
      </c>
      <c r="J41" s="23">
        <v>27500</v>
      </c>
      <c r="K41" s="11">
        <v>2</v>
      </c>
      <c r="L41" s="23">
        <f>ListaDeInventario[[#This Row],[Precio por unidad]]*ListaDeInventario[[#This Row],[Cantidad en existencias]]</f>
        <v>55000</v>
      </c>
      <c r="M41" s="11">
        <v>5</v>
      </c>
      <c r="N41" s="11">
        <v>395</v>
      </c>
      <c r="O41" s="11" t="s">
        <v>38</v>
      </c>
      <c r="P41" s="13" t="s">
        <v>42</v>
      </c>
      <c r="Q41" s="10" t="s">
        <v>136</v>
      </c>
      <c r="R41" s="19"/>
    </row>
    <row r="42" spans="2:18" ht="30" customHeight="1" x14ac:dyDescent="0.25">
      <c r="B42" s="21">
        <f>IFERROR((ListaDeInventario[[#This Row],[Cantidad en existencias]]&lt;=ListaDeInventario[[#This Row],[Stock critico]])*(ListaDeInventario[[#This Row],[subdivision]]="")*valResaltado,0)</f>
        <v>0</v>
      </c>
      <c r="C42" s="8" t="s">
        <v>84</v>
      </c>
      <c r="D42" s="8" t="s">
        <v>188</v>
      </c>
      <c r="E42" s="22" t="s">
        <v>113</v>
      </c>
      <c r="F42" s="8"/>
      <c r="G42" s="22" t="s">
        <v>93</v>
      </c>
      <c r="H42" s="8" t="s">
        <v>97</v>
      </c>
      <c r="I42" s="8" t="s">
        <v>110</v>
      </c>
      <c r="J42" s="23">
        <v>27500</v>
      </c>
      <c r="K42" s="11">
        <v>2</v>
      </c>
      <c r="L42" s="23">
        <f>ListaDeInventario[[#This Row],[Precio por unidad]]*ListaDeInventario[[#This Row],[Cantidad en existencias]]</f>
        <v>55000</v>
      </c>
      <c r="M42" s="11">
        <v>5</v>
      </c>
      <c r="N42" s="11">
        <v>395</v>
      </c>
      <c r="O42" s="11" t="s">
        <v>38</v>
      </c>
      <c r="P42" s="13" t="s">
        <v>42</v>
      </c>
      <c r="Q42" s="10" t="s">
        <v>136</v>
      </c>
      <c r="R42" s="19"/>
    </row>
    <row r="43" spans="2:18" ht="30" customHeight="1" x14ac:dyDescent="0.25">
      <c r="B43" s="21">
        <f>IFERROR((ListaDeInventario[[#This Row],[Cantidad en existencias]]&lt;=ListaDeInventario[[#This Row],[Stock critico]])*(ListaDeInventario[[#This Row],[subdivision]]="")*valResaltado,0)</f>
        <v>0</v>
      </c>
      <c r="C43" s="8" t="s">
        <v>85</v>
      </c>
      <c r="D43" s="8" t="s">
        <v>188</v>
      </c>
      <c r="E43" s="22" t="s">
        <v>113</v>
      </c>
      <c r="F43" s="8"/>
      <c r="G43" s="22" t="s">
        <v>94</v>
      </c>
      <c r="H43" s="8" t="s">
        <v>97</v>
      </c>
      <c r="I43" s="8" t="s">
        <v>110</v>
      </c>
      <c r="J43" s="23">
        <v>27500</v>
      </c>
      <c r="K43" s="11">
        <v>0</v>
      </c>
      <c r="L43" s="23">
        <f>ListaDeInventario[[#This Row],[Precio por unidad]]*ListaDeInventario[[#This Row],[Cantidad en existencias]]</f>
        <v>0</v>
      </c>
      <c r="M43" s="11">
        <v>5</v>
      </c>
      <c r="N43" s="11">
        <v>395</v>
      </c>
      <c r="O43" s="11" t="s">
        <v>38</v>
      </c>
      <c r="P43" s="13" t="s">
        <v>42</v>
      </c>
      <c r="Q43" s="10" t="s">
        <v>136</v>
      </c>
      <c r="R43" s="19"/>
    </row>
    <row r="44" spans="2:18" ht="30" customHeight="1" x14ac:dyDescent="0.25">
      <c r="B44" s="21">
        <f>IFERROR((ListaDeInventario[[#This Row],[Cantidad en existencias]]&lt;=ListaDeInventario[[#This Row],[Stock critico]])*(ListaDeInventario[[#This Row],[subdivision]]="")*valResaltado,0)</f>
        <v>0</v>
      </c>
      <c r="C44" s="8" t="s">
        <v>86</v>
      </c>
      <c r="D44" s="8" t="s">
        <v>188</v>
      </c>
      <c r="E44" s="22" t="s">
        <v>113</v>
      </c>
      <c r="F44" s="8"/>
      <c r="G44" s="22" t="s">
        <v>95</v>
      </c>
      <c r="H44" s="8" t="s">
        <v>97</v>
      </c>
      <c r="I44" s="8" t="s">
        <v>110</v>
      </c>
      <c r="J44" s="23">
        <v>27500</v>
      </c>
      <c r="K44" s="11">
        <v>0</v>
      </c>
      <c r="L44" s="23">
        <f>ListaDeInventario[[#This Row],[Precio por unidad]]*ListaDeInventario[[#This Row],[Cantidad en existencias]]</f>
        <v>0</v>
      </c>
      <c r="M44" s="11">
        <v>5</v>
      </c>
      <c r="N44" s="11">
        <v>395</v>
      </c>
      <c r="O44" s="11" t="s">
        <v>38</v>
      </c>
      <c r="P44" s="13" t="s">
        <v>42</v>
      </c>
      <c r="Q44" s="10" t="s">
        <v>136</v>
      </c>
      <c r="R44" s="19"/>
    </row>
    <row r="45" spans="2:18" ht="30" customHeight="1" x14ac:dyDescent="0.25">
      <c r="B45" s="21">
        <f>IFERROR((ListaDeInventario[[#This Row],[Cantidad en existencias]]&lt;=ListaDeInventario[[#This Row],[Stock critico]])*(ListaDeInventario[[#This Row],[subdivision]]="")*valResaltado,0)</f>
        <v>0</v>
      </c>
      <c r="C45" s="8" t="s">
        <v>87</v>
      </c>
      <c r="D45" s="8" t="s">
        <v>188</v>
      </c>
      <c r="E45" s="22" t="s">
        <v>113</v>
      </c>
      <c r="F45" s="8"/>
      <c r="G45" s="22" t="s">
        <v>96</v>
      </c>
      <c r="H45" s="8" t="s">
        <v>97</v>
      </c>
      <c r="I45" s="8" t="s">
        <v>110</v>
      </c>
      <c r="J45" s="23">
        <v>27500</v>
      </c>
      <c r="K45" s="11">
        <v>2</v>
      </c>
      <c r="L45" s="23">
        <f>ListaDeInventario[[#This Row],[Precio por unidad]]*ListaDeInventario[[#This Row],[Cantidad en existencias]]</f>
        <v>55000</v>
      </c>
      <c r="M45" s="11">
        <v>5</v>
      </c>
      <c r="N45" s="11">
        <v>395</v>
      </c>
      <c r="O45" s="11" t="s">
        <v>38</v>
      </c>
      <c r="P45" s="13" t="s">
        <v>42</v>
      </c>
      <c r="Q45" s="10" t="s">
        <v>136</v>
      </c>
      <c r="R45" s="19"/>
    </row>
    <row r="46" spans="2:18" ht="30" customHeight="1" x14ac:dyDescent="0.25">
      <c r="B46" s="21">
        <f>IFERROR((ListaDeInventario[[#This Row],[Cantidad en existencias]]&lt;=ListaDeInventario[[#This Row],[Stock critico]])*(ListaDeInventario[[#This Row],[subdivision]]="")*valResaltado,0)</f>
        <v>0</v>
      </c>
      <c r="C46" s="8" t="s">
        <v>88</v>
      </c>
      <c r="D46" s="8" t="s">
        <v>188</v>
      </c>
      <c r="E46" s="22" t="s">
        <v>114</v>
      </c>
      <c r="F46" s="8"/>
      <c r="G46" s="22" t="s">
        <v>92</v>
      </c>
      <c r="H46" s="8" t="s">
        <v>97</v>
      </c>
      <c r="I46" s="8" t="s">
        <v>110</v>
      </c>
      <c r="J46" s="23">
        <v>4000</v>
      </c>
      <c r="K46" s="11">
        <v>0</v>
      </c>
      <c r="L46" s="23">
        <f>ListaDeInventario[[#This Row],[Precio por unidad]]*ListaDeInventario[[#This Row],[Cantidad en existencias]]</f>
        <v>0</v>
      </c>
      <c r="M46" s="11">
        <v>5</v>
      </c>
      <c r="N46" s="11">
        <v>395</v>
      </c>
      <c r="O46" s="11" t="s">
        <v>38</v>
      </c>
      <c r="P46" s="13" t="s">
        <v>42</v>
      </c>
      <c r="Q46" s="10" t="s">
        <v>136</v>
      </c>
      <c r="R46" s="19"/>
    </row>
    <row r="47" spans="2:18" ht="30" customHeight="1" x14ac:dyDescent="0.25">
      <c r="B47" s="21">
        <f>IFERROR((ListaDeInventario[[#This Row],[Cantidad en existencias]]&lt;=ListaDeInventario[[#This Row],[Stock critico]])*(ListaDeInventario[[#This Row],[subdivision]]="")*valResaltado,0)</f>
        <v>0</v>
      </c>
      <c r="C47" s="8" t="s">
        <v>89</v>
      </c>
      <c r="D47" s="8" t="s">
        <v>188</v>
      </c>
      <c r="E47" s="22" t="s">
        <v>114</v>
      </c>
      <c r="F47" s="8"/>
      <c r="G47" s="22" t="s">
        <v>93</v>
      </c>
      <c r="H47" s="8" t="s">
        <v>97</v>
      </c>
      <c r="I47" s="8" t="s">
        <v>110</v>
      </c>
      <c r="J47" s="23">
        <v>4000</v>
      </c>
      <c r="K47" s="11">
        <v>6</v>
      </c>
      <c r="L47" s="23">
        <f>ListaDeInventario[[#This Row],[Precio por unidad]]*ListaDeInventario[[#This Row],[Cantidad en existencias]]</f>
        <v>24000</v>
      </c>
      <c r="M47" s="11">
        <v>5</v>
      </c>
      <c r="N47" s="11">
        <v>395</v>
      </c>
      <c r="O47" s="11" t="s">
        <v>38</v>
      </c>
      <c r="P47" s="13" t="s">
        <v>42</v>
      </c>
      <c r="Q47" s="10" t="s">
        <v>136</v>
      </c>
      <c r="R47" s="19"/>
    </row>
    <row r="48" spans="2:18" ht="30" customHeight="1" x14ac:dyDescent="0.25">
      <c r="B48" s="21">
        <f>IFERROR((ListaDeInventario[[#This Row],[Cantidad en existencias]]&lt;=ListaDeInventario[[#This Row],[Stock critico]])*(ListaDeInventario[[#This Row],[subdivision]]="")*valResaltado,0)</f>
        <v>0</v>
      </c>
      <c r="C48" s="8" t="s">
        <v>90</v>
      </c>
      <c r="D48" s="8" t="s">
        <v>188</v>
      </c>
      <c r="E48" s="22" t="s">
        <v>114</v>
      </c>
      <c r="F48" s="8"/>
      <c r="G48" s="22" t="s">
        <v>94</v>
      </c>
      <c r="H48" s="8" t="s">
        <v>97</v>
      </c>
      <c r="I48" s="8" t="s">
        <v>110</v>
      </c>
      <c r="J48" s="23">
        <v>4000</v>
      </c>
      <c r="K48" s="11">
        <v>1</v>
      </c>
      <c r="L48" s="23">
        <f>ListaDeInventario[[#This Row],[Precio por unidad]]*ListaDeInventario[[#This Row],[Cantidad en existencias]]</f>
        <v>4000</v>
      </c>
      <c r="M48" s="11">
        <v>5</v>
      </c>
      <c r="N48" s="11">
        <v>395</v>
      </c>
      <c r="O48" s="11" t="s">
        <v>38</v>
      </c>
      <c r="P48" s="13" t="s">
        <v>42</v>
      </c>
      <c r="Q48" s="10" t="s">
        <v>136</v>
      </c>
      <c r="R48" s="19"/>
    </row>
    <row r="49" spans="2:18" ht="30" customHeight="1" x14ac:dyDescent="0.25">
      <c r="B49" s="21">
        <f>IFERROR((ListaDeInventario[[#This Row],[Cantidad en existencias]]&lt;=ListaDeInventario[[#This Row],[Stock critico]])*(ListaDeInventario[[#This Row],[subdivision]]="")*valResaltado,0)</f>
        <v>0</v>
      </c>
      <c r="C49" s="8" t="s">
        <v>115</v>
      </c>
      <c r="D49" s="8" t="s">
        <v>188</v>
      </c>
      <c r="E49" s="22" t="s">
        <v>114</v>
      </c>
      <c r="F49" s="8"/>
      <c r="G49" s="22" t="s">
        <v>95</v>
      </c>
      <c r="H49" s="8" t="s">
        <v>97</v>
      </c>
      <c r="I49" s="8" t="s">
        <v>110</v>
      </c>
      <c r="J49" s="23">
        <v>4000</v>
      </c>
      <c r="K49" s="11">
        <v>1</v>
      </c>
      <c r="L49" s="23">
        <f>ListaDeInventario[[#This Row],[Precio por unidad]]*ListaDeInventario[[#This Row],[Cantidad en existencias]]</f>
        <v>4000</v>
      </c>
      <c r="M49" s="11">
        <v>5</v>
      </c>
      <c r="N49" s="11">
        <v>395</v>
      </c>
      <c r="O49" s="11" t="s">
        <v>38</v>
      </c>
      <c r="P49" s="13" t="s">
        <v>42</v>
      </c>
      <c r="Q49" s="10" t="s">
        <v>136</v>
      </c>
      <c r="R49" s="19"/>
    </row>
    <row r="50" spans="2:18" ht="30" customHeight="1" x14ac:dyDescent="0.25">
      <c r="B50" s="21">
        <f>IFERROR((ListaDeInventario[[#This Row],[Cantidad en existencias]]&lt;=ListaDeInventario[[#This Row],[Stock critico]])*(ListaDeInventario[[#This Row],[subdivision]]="")*valResaltado,0)</f>
        <v>0</v>
      </c>
      <c r="C50" s="8" t="s">
        <v>116</v>
      </c>
      <c r="D50" s="8" t="s">
        <v>188</v>
      </c>
      <c r="E50" s="22" t="s">
        <v>114</v>
      </c>
      <c r="F50" s="8"/>
      <c r="G50" s="22" t="s">
        <v>96</v>
      </c>
      <c r="H50" s="8" t="s">
        <v>97</v>
      </c>
      <c r="I50" s="8" t="s">
        <v>110</v>
      </c>
      <c r="J50" s="23">
        <v>4000</v>
      </c>
      <c r="K50" s="11">
        <v>0</v>
      </c>
      <c r="L50" s="23">
        <f>ListaDeInventario[[#This Row],[Precio por unidad]]*ListaDeInventario[[#This Row],[Cantidad en existencias]]</f>
        <v>0</v>
      </c>
      <c r="M50" s="11">
        <v>5</v>
      </c>
      <c r="N50" s="11">
        <v>395</v>
      </c>
      <c r="O50" s="11" t="s">
        <v>38</v>
      </c>
      <c r="P50" s="13" t="s">
        <v>42</v>
      </c>
      <c r="Q50" s="10" t="s">
        <v>136</v>
      </c>
      <c r="R50" s="19"/>
    </row>
    <row r="51" spans="2:18" ht="30" customHeight="1" x14ac:dyDescent="0.25">
      <c r="B51" s="21">
        <f>IFERROR((ListaDeInventario[[#This Row],[Cantidad en existencias]]&lt;=ListaDeInventario[[#This Row],[Stock critico]])*(ListaDeInventario[[#This Row],[subdivision]]="")*valResaltado,0)</f>
        <v>0</v>
      </c>
      <c r="C51" s="8" t="s">
        <v>118</v>
      </c>
      <c r="D51" s="8" t="s">
        <v>187</v>
      </c>
      <c r="E51" s="22" t="s">
        <v>132</v>
      </c>
      <c r="F51" s="8"/>
      <c r="G51" s="22" t="s">
        <v>92</v>
      </c>
      <c r="H51" s="8" t="s">
        <v>97</v>
      </c>
      <c r="I51" s="8" t="s">
        <v>110</v>
      </c>
      <c r="J51" s="23">
        <v>6500</v>
      </c>
      <c r="K51" s="11">
        <v>1</v>
      </c>
      <c r="L51" s="23">
        <f>ListaDeInventario[[#This Row],[Precio por unidad]]*ListaDeInventario[[#This Row],[Cantidad en existencias]]</f>
        <v>6500</v>
      </c>
      <c r="M51" s="11">
        <v>5</v>
      </c>
      <c r="N51" s="11">
        <v>395</v>
      </c>
      <c r="O51" s="11" t="s">
        <v>38</v>
      </c>
      <c r="P51" s="13" t="s">
        <v>42</v>
      </c>
      <c r="Q51" s="10" t="s">
        <v>136</v>
      </c>
      <c r="R51" s="19"/>
    </row>
    <row r="52" spans="2:18" ht="30" customHeight="1" x14ac:dyDescent="0.25">
      <c r="B52" s="21">
        <f>IFERROR((ListaDeInventario[[#This Row],[Cantidad en existencias]]&lt;=ListaDeInventario[[#This Row],[Stock critico]])*(ListaDeInventario[[#This Row],[subdivision]]="")*valResaltado,0)</f>
        <v>0</v>
      </c>
      <c r="C52" s="8" t="s">
        <v>119</v>
      </c>
      <c r="D52" s="8" t="s">
        <v>187</v>
      </c>
      <c r="E52" s="22" t="s">
        <v>132</v>
      </c>
      <c r="F52" s="8"/>
      <c r="G52" s="22" t="s">
        <v>93</v>
      </c>
      <c r="H52" s="8" t="s">
        <v>97</v>
      </c>
      <c r="I52" s="8" t="s">
        <v>110</v>
      </c>
      <c r="J52" s="23">
        <v>6500</v>
      </c>
      <c r="K52" s="11">
        <v>0</v>
      </c>
      <c r="L52" s="23">
        <f>ListaDeInventario[[#This Row],[Precio por unidad]]*ListaDeInventario[[#This Row],[Cantidad en existencias]]</f>
        <v>0</v>
      </c>
      <c r="M52" s="11">
        <v>5</v>
      </c>
      <c r="N52" s="11">
        <v>395</v>
      </c>
      <c r="O52" s="11" t="s">
        <v>38</v>
      </c>
      <c r="P52" s="13" t="s">
        <v>42</v>
      </c>
      <c r="Q52" s="10" t="s">
        <v>136</v>
      </c>
      <c r="R52" s="19"/>
    </row>
    <row r="53" spans="2:18" ht="30" customHeight="1" x14ac:dyDescent="0.25">
      <c r="B53" s="21">
        <f>IFERROR((ListaDeInventario[[#This Row],[Cantidad en existencias]]&lt;=ListaDeInventario[[#This Row],[Stock critico]])*(ListaDeInventario[[#This Row],[subdivision]]="")*valResaltado,0)</f>
        <v>0</v>
      </c>
      <c r="C53" s="8" t="s">
        <v>120</v>
      </c>
      <c r="D53" s="8" t="s">
        <v>187</v>
      </c>
      <c r="E53" s="22" t="s">
        <v>132</v>
      </c>
      <c r="F53" s="8"/>
      <c r="G53" s="22" t="s">
        <v>94</v>
      </c>
      <c r="H53" s="8" t="s">
        <v>97</v>
      </c>
      <c r="I53" s="8" t="s">
        <v>110</v>
      </c>
      <c r="J53" s="23">
        <v>6500</v>
      </c>
      <c r="K53" s="11">
        <v>9</v>
      </c>
      <c r="L53" s="23">
        <f>ListaDeInventario[[#This Row],[Precio por unidad]]*ListaDeInventario[[#This Row],[Cantidad en existencias]]</f>
        <v>58500</v>
      </c>
      <c r="M53" s="11">
        <v>5</v>
      </c>
      <c r="N53" s="11">
        <v>395</v>
      </c>
      <c r="O53" s="11" t="s">
        <v>38</v>
      </c>
      <c r="P53" s="13" t="s">
        <v>42</v>
      </c>
      <c r="Q53" s="10" t="s">
        <v>136</v>
      </c>
      <c r="R53" s="19"/>
    </row>
    <row r="54" spans="2:18" ht="30" customHeight="1" x14ac:dyDescent="0.25">
      <c r="B54" s="21">
        <f>IFERROR((ListaDeInventario[[#This Row],[Cantidad en existencias]]&lt;=ListaDeInventario[[#This Row],[Stock critico]])*(ListaDeInventario[[#This Row],[subdivision]]="")*valResaltado,0)</f>
        <v>0</v>
      </c>
      <c r="C54" s="8" t="s">
        <v>121</v>
      </c>
      <c r="D54" s="8" t="s">
        <v>187</v>
      </c>
      <c r="E54" s="22" t="s">
        <v>132</v>
      </c>
      <c r="F54" s="8"/>
      <c r="G54" s="22" t="s">
        <v>95</v>
      </c>
      <c r="H54" s="8" t="s">
        <v>97</v>
      </c>
      <c r="I54" s="8" t="s">
        <v>110</v>
      </c>
      <c r="J54" s="23">
        <v>6500</v>
      </c>
      <c r="K54" s="11">
        <v>0</v>
      </c>
      <c r="L54" s="23">
        <f>ListaDeInventario[[#This Row],[Precio por unidad]]*ListaDeInventario[[#This Row],[Cantidad en existencias]]</f>
        <v>0</v>
      </c>
      <c r="M54" s="11">
        <v>5</v>
      </c>
      <c r="N54" s="11">
        <v>395</v>
      </c>
      <c r="O54" s="11" t="s">
        <v>38</v>
      </c>
      <c r="P54" s="13" t="s">
        <v>42</v>
      </c>
      <c r="Q54" s="10" t="s">
        <v>136</v>
      </c>
      <c r="R54" s="19"/>
    </row>
    <row r="55" spans="2:18" ht="30" customHeight="1" x14ac:dyDescent="0.25">
      <c r="B55" s="21">
        <f>IFERROR((ListaDeInventario[[#This Row],[Cantidad en existencias]]&lt;=ListaDeInventario[[#This Row],[Stock critico]])*(ListaDeInventario[[#This Row],[subdivision]]="")*valResaltado,0)</f>
        <v>0</v>
      </c>
      <c r="C55" s="8" t="s">
        <v>122</v>
      </c>
      <c r="D55" s="8" t="s">
        <v>187</v>
      </c>
      <c r="E55" s="22" t="s">
        <v>132</v>
      </c>
      <c r="F55" s="8"/>
      <c r="G55" s="22" t="s">
        <v>96</v>
      </c>
      <c r="H55" s="8" t="s">
        <v>97</v>
      </c>
      <c r="I55" s="8" t="s">
        <v>110</v>
      </c>
      <c r="J55" s="23">
        <v>6500</v>
      </c>
      <c r="K55" s="11">
        <v>7</v>
      </c>
      <c r="L55" s="23">
        <f>ListaDeInventario[[#This Row],[Precio por unidad]]*ListaDeInventario[[#This Row],[Cantidad en existencias]]</f>
        <v>45500</v>
      </c>
      <c r="M55" s="11">
        <v>5</v>
      </c>
      <c r="N55" s="11">
        <v>395</v>
      </c>
      <c r="O55" s="11" t="s">
        <v>38</v>
      </c>
      <c r="P55" s="13" t="s">
        <v>42</v>
      </c>
      <c r="Q55" s="10" t="s">
        <v>136</v>
      </c>
      <c r="R55" s="19"/>
    </row>
    <row r="56" spans="2:18" ht="30" customHeight="1" x14ac:dyDescent="0.25">
      <c r="B56" s="21">
        <f>IFERROR((ListaDeInventario[[#This Row],[Cantidad en existencias]]&lt;=ListaDeInventario[[#This Row],[Stock critico]])*(ListaDeInventario[[#This Row],[subdivision]]="")*valResaltado,0)</f>
        <v>0</v>
      </c>
      <c r="C56" s="8" t="s">
        <v>123</v>
      </c>
      <c r="D56" s="8" t="s">
        <v>187</v>
      </c>
      <c r="E56" s="22" t="s">
        <v>133</v>
      </c>
      <c r="F56" s="8"/>
      <c r="G56" s="22" t="s">
        <v>134</v>
      </c>
      <c r="H56" s="8" t="s">
        <v>97</v>
      </c>
      <c r="I56" s="8"/>
      <c r="J56" s="23">
        <v>5500</v>
      </c>
      <c r="K56" s="11">
        <v>2</v>
      </c>
      <c r="L56" s="23">
        <f>ListaDeInventario[[#This Row],[Precio por unidad]]*ListaDeInventario[[#This Row],[Cantidad en existencias]]</f>
        <v>11000</v>
      </c>
      <c r="M56" s="11">
        <v>5</v>
      </c>
      <c r="N56" s="11">
        <v>395</v>
      </c>
      <c r="O56" s="11" t="s">
        <v>38</v>
      </c>
      <c r="P56" s="13" t="s">
        <v>42</v>
      </c>
      <c r="Q56" s="10" t="s">
        <v>136</v>
      </c>
      <c r="R56" s="19"/>
    </row>
    <row r="57" spans="2:18" ht="30" customHeight="1" x14ac:dyDescent="0.25">
      <c r="B57" s="21">
        <f>IFERROR((ListaDeInventario[[#This Row],[Cantidad en existencias]]&lt;=ListaDeInventario[[#This Row],[Stock critico]])*(ListaDeInventario[[#This Row],[subdivision]]="")*valResaltado,0)</f>
        <v>0</v>
      </c>
      <c r="C57" s="8" t="s">
        <v>124</v>
      </c>
      <c r="D57" s="8" t="s">
        <v>188</v>
      </c>
      <c r="E57" s="22" t="s">
        <v>135</v>
      </c>
      <c r="F57" s="8"/>
      <c r="G57" s="22"/>
      <c r="H57" s="8" t="s">
        <v>97</v>
      </c>
      <c r="I57" s="8"/>
      <c r="J57" s="23">
        <v>700</v>
      </c>
      <c r="K57" s="11">
        <v>65</v>
      </c>
      <c r="L57" s="23">
        <f>ListaDeInventario[[#This Row],[Precio por unidad]]*ListaDeInventario[[#This Row],[Cantidad en existencias]]</f>
        <v>45500</v>
      </c>
      <c r="M57" s="11">
        <v>15</v>
      </c>
      <c r="N57" s="11">
        <v>395</v>
      </c>
      <c r="O57" s="11" t="s">
        <v>38</v>
      </c>
      <c r="P57" s="13" t="s">
        <v>39</v>
      </c>
      <c r="Q57" s="10" t="s">
        <v>136</v>
      </c>
      <c r="R57" s="19"/>
    </row>
    <row r="58" spans="2:18" ht="30" customHeight="1" x14ac:dyDescent="0.25">
      <c r="B58" s="21">
        <f>IFERROR((ListaDeInventario[[#This Row],[Cantidad en existencias]]&lt;=ListaDeInventario[[#This Row],[Stock critico]])*(ListaDeInventario[[#This Row],[subdivision]]="")*valResaltado,0)</f>
        <v>0</v>
      </c>
      <c r="C58" s="8" t="s">
        <v>125</v>
      </c>
      <c r="D58" s="8" t="s">
        <v>188</v>
      </c>
      <c r="E58" s="22" t="s">
        <v>137</v>
      </c>
      <c r="F58" s="8"/>
      <c r="G58" s="22">
        <v>36</v>
      </c>
      <c r="H58" s="8" t="s">
        <v>97</v>
      </c>
      <c r="I58" s="8" t="s">
        <v>138</v>
      </c>
      <c r="J58" s="23">
        <v>43990</v>
      </c>
      <c r="K58" s="11">
        <v>0</v>
      </c>
      <c r="L58" s="23">
        <f>ListaDeInventario[[#This Row],[Precio por unidad]]*ListaDeInventario[[#This Row],[Cantidad en existencias]]</f>
        <v>0</v>
      </c>
      <c r="M58" s="11">
        <v>0</v>
      </c>
      <c r="N58" s="11">
        <v>395</v>
      </c>
      <c r="O58" s="11" t="s">
        <v>38</v>
      </c>
      <c r="P58" s="13" t="s">
        <v>42</v>
      </c>
      <c r="Q58" s="13" t="s">
        <v>136</v>
      </c>
      <c r="R58" s="19"/>
    </row>
    <row r="59" spans="2:18" ht="30" customHeight="1" x14ac:dyDescent="0.25">
      <c r="B59" s="21">
        <f>IFERROR((ListaDeInventario[[#This Row],[Cantidad en existencias]]&lt;=ListaDeInventario[[#This Row],[Stock critico]])*(ListaDeInventario[[#This Row],[subdivision]]="")*valResaltado,0)</f>
        <v>0</v>
      </c>
      <c r="C59" s="8" t="s">
        <v>126</v>
      </c>
      <c r="D59" s="8" t="s">
        <v>188</v>
      </c>
      <c r="E59" s="22" t="s">
        <v>137</v>
      </c>
      <c r="F59" s="8"/>
      <c r="G59" s="22">
        <v>37</v>
      </c>
      <c r="H59" s="8" t="s">
        <v>97</v>
      </c>
      <c r="I59" s="8" t="s">
        <v>200</v>
      </c>
      <c r="J59" s="23">
        <v>43990</v>
      </c>
      <c r="K59" s="11">
        <v>1</v>
      </c>
      <c r="L59" s="23">
        <f>ListaDeInventario[[#This Row],[Precio por unidad]]*ListaDeInventario[[#This Row],[Cantidad en existencias]]</f>
        <v>43990</v>
      </c>
      <c r="M59" s="11">
        <v>1</v>
      </c>
      <c r="N59" s="11">
        <v>395</v>
      </c>
      <c r="O59" s="11" t="s">
        <v>38</v>
      </c>
      <c r="P59" s="13" t="s">
        <v>42</v>
      </c>
      <c r="Q59" s="13" t="s">
        <v>136</v>
      </c>
      <c r="R59" s="19"/>
    </row>
    <row r="60" spans="2:18" ht="30" customHeight="1" x14ac:dyDescent="0.25">
      <c r="B60" s="21">
        <f>IFERROR((ListaDeInventario[[#This Row],[Cantidad en existencias]]&lt;=ListaDeInventario[[#This Row],[Stock critico]])*(ListaDeInventario[[#This Row],[subdivision]]="")*valResaltado,0)</f>
        <v>0</v>
      </c>
      <c r="C60" s="8" t="s">
        <v>127</v>
      </c>
      <c r="D60" s="8" t="s">
        <v>188</v>
      </c>
      <c r="E60" s="22" t="s">
        <v>137</v>
      </c>
      <c r="F60" s="8"/>
      <c r="G60" s="22">
        <v>38</v>
      </c>
      <c r="H60" s="8" t="s">
        <v>97</v>
      </c>
      <c r="I60" s="8" t="s">
        <v>200</v>
      </c>
      <c r="J60" s="23">
        <v>43990</v>
      </c>
      <c r="K60" s="11">
        <v>1</v>
      </c>
      <c r="L60" s="23">
        <f>ListaDeInventario[[#This Row],[Precio por unidad]]*ListaDeInventario[[#This Row],[Cantidad en existencias]]</f>
        <v>43990</v>
      </c>
      <c r="M60" s="11">
        <v>2</v>
      </c>
      <c r="N60" s="11">
        <v>395</v>
      </c>
      <c r="O60" s="11" t="s">
        <v>38</v>
      </c>
      <c r="P60" s="13" t="s">
        <v>42</v>
      </c>
      <c r="Q60" s="13" t="s">
        <v>136</v>
      </c>
      <c r="R60" s="19"/>
    </row>
    <row r="61" spans="2:18" ht="30" customHeight="1" x14ac:dyDescent="0.25">
      <c r="B61" s="21">
        <f>IFERROR((ListaDeInventario[[#This Row],[Cantidad en existencias]]&lt;=ListaDeInventario[[#This Row],[Stock critico]])*(ListaDeInventario[[#This Row],[subdivision]]="")*valResaltado,0)</f>
        <v>0</v>
      </c>
      <c r="C61" s="8" t="s">
        <v>128</v>
      </c>
      <c r="D61" s="8" t="s">
        <v>188</v>
      </c>
      <c r="E61" s="22" t="s">
        <v>137</v>
      </c>
      <c r="F61" s="8"/>
      <c r="G61" s="22">
        <v>39</v>
      </c>
      <c r="H61" s="8" t="s">
        <v>97</v>
      </c>
      <c r="I61" s="8" t="s">
        <v>200</v>
      </c>
      <c r="J61" s="23">
        <v>43990</v>
      </c>
      <c r="K61" s="11">
        <v>3</v>
      </c>
      <c r="L61" s="23">
        <f>ListaDeInventario[[#This Row],[Precio por unidad]]*ListaDeInventario[[#This Row],[Cantidad en existencias]]</f>
        <v>131970</v>
      </c>
      <c r="M61" s="11">
        <v>2</v>
      </c>
      <c r="N61" s="11">
        <v>395</v>
      </c>
      <c r="O61" s="11" t="s">
        <v>38</v>
      </c>
      <c r="P61" s="13" t="s">
        <v>42</v>
      </c>
      <c r="Q61" s="13" t="s">
        <v>136</v>
      </c>
      <c r="R61" s="19"/>
    </row>
    <row r="62" spans="2:18" ht="30" customHeight="1" x14ac:dyDescent="0.25">
      <c r="B62" s="21">
        <f>IFERROR((ListaDeInventario[[#This Row],[Cantidad en existencias]]&lt;=ListaDeInventario[[#This Row],[Stock critico]])*(ListaDeInventario[[#This Row],[subdivision]]="")*valResaltado,0)</f>
        <v>0</v>
      </c>
      <c r="C62" s="8" t="s">
        <v>129</v>
      </c>
      <c r="D62" s="8" t="s">
        <v>188</v>
      </c>
      <c r="E62" s="22" t="s">
        <v>137</v>
      </c>
      <c r="F62" s="8"/>
      <c r="G62" s="22">
        <v>40</v>
      </c>
      <c r="H62" s="8" t="s">
        <v>97</v>
      </c>
      <c r="I62" s="8" t="s">
        <v>200</v>
      </c>
      <c r="J62" s="23">
        <v>43990</v>
      </c>
      <c r="K62" s="11">
        <v>0</v>
      </c>
      <c r="L62" s="23">
        <f>ListaDeInventario[[#This Row],[Precio por unidad]]*ListaDeInventario[[#This Row],[Cantidad en existencias]]</f>
        <v>0</v>
      </c>
      <c r="M62" s="11">
        <v>5</v>
      </c>
      <c r="N62" s="11">
        <v>395</v>
      </c>
      <c r="O62" s="11" t="s">
        <v>38</v>
      </c>
      <c r="P62" s="13" t="s">
        <v>42</v>
      </c>
      <c r="Q62" s="13" t="s">
        <v>136</v>
      </c>
      <c r="R62" s="19"/>
    </row>
    <row r="63" spans="2:18" ht="30" customHeight="1" x14ac:dyDescent="0.25">
      <c r="B63" s="21">
        <f>IFERROR((ListaDeInventario[[#This Row],[Cantidad en existencias]]&lt;=ListaDeInventario[[#This Row],[Stock critico]])*(ListaDeInventario[[#This Row],[subdivision]]="")*valResaltado,0)</f>
        <v>0</v>
      </c>
      <c r="C63" s="8" t="s">
        <v>130</v>
      </c>
      <c r="D63" s="8" t="s">
        <v>188</v>
      </c>
      <c r="E63" s="22" t="s">
        <v>137</v>
      </c>
      <c r="F63" s="8"/>
      <c r="G63" s="22">
        <v>41</v>
      </c>
      <c r="H63" s="8" t="s">
        <v>97</v>
      </c>
      <c r="I63" s="8" t="s">
        <v>200</v>
      </c>
      <c r="J63" s="23">
        <v>43990</v>
      </c>
      <c r="K63" s="11">
        <v>0</v>
      </c>
      <c r="L63" s="23">
        <f>ListaDeInventario[[#This Row],[Precio por unidad]]*ListaDeInventario[[#This Row],[Cantidad en existencias]]</f>
        <v>0</v>
      </c>
      <c r="M63" s="11">
        <v>5</v>
      </c>
      <c r="N63" s="11">
        <v>395</v>
      </c>
      <c r="O63" s="11" t="s">
        <v>38</v>
      </c>
      <c r="P63" s="13" t="s">
        <v>42</v>
      </c>
      <c r="Q63" s="13" t="s">
        <v>136</v>
      </c>
      <c r="R63" s="19"/>
    </row>
    <row r="64" spans="2:18" ht="30" customHeight="1" x14ac:dyDescent="0.25">
      <c r="B64" s="21">
        <f>IFERROR((ListaDeInventario[[#This Row],[Cantidad en existencias]]&lt;=ListaDeInventario[[#This Row],[Stock critico]])*(ListaDeInventario[[#This Row],[subdivision]]="")*valResaltado,0)</f>
        <v>0</v>
      </c>
      <c r="C64" s="8" t="s">
        <v>131</v>
      </c>
      <c r="D64" s="8" t="s">
        <v>188</v>
      </c>
      <c r="E64" s="22" t="s">
        <v>137</v>
      </c>
      <c r="F64" s="8"/>
      <c r="G64" s="22">
        <v>42</v>
      </c>
      <c r="H64" s="8" t="s">
        <v>97</v>
      </c>
      <c r="I64" s="8" t="s">
        <v>200</v>
      </c>
      <c r="J64" s="23">
        <v>43990</v>
      </c>
      <c r="K64" s="11">
        <v>1</v>
      </c>
      <c r="L64" s="23">
        <f>ListaDeInventario[[#This Row],[Precio por unidad]]*ListaDeInventario[[#This Row],[Cantidad en existencias]]</f>
        <v>43990</v>
      </c>
      <c r="M64" s="11">
        <v>5</v>
      </c>
      <c r="N64" s="11">
        <v>395</v>
      </c>
      <c r="O64" s="11" t="s">
        <v>38</v>
      </c>
      <c r="P64" s="13" t="s">
        <v>42</v>
      </c>
      <c r="Q64" s="13" t="s">
        <v>136</v>
      </c>
      <c r="R64" s="19"/>
    </row>
    <row r="65" spans="2:18" ht="30" customHeight="1" x14ac:dyDescent="0.25">
      <c r="B65" s="24">
        <f>IFERROR((ListaDeInventario[[#This Row],[Cantidad en existencias]]&lt;=ListaDeInventario[[#This Row],[Stock critico]])*(ListaDeInventario[[#This Row],[subdivision]]="")*valResaltado,0)</f>
        <v>0</v>
      </c>
      <c r="C65" s="8" t="s">
        <v>139</v>
      </c>
      <c r="D65" s="8" t="s">
        <v>188</v>
      </c>
      <c r="E65" s="22" t="s">
        <v>137</v>
      </c>
      <c r="F65" s="8"/>
      <c r="G65" s="25">
        <v>43</v>
      </c>
      <c r="H65" s="8" t="s">
        <v>97</v>
      </c>
      <c r="I65" s="8" t="s">
        <v>200</v>
      </c>
      <c r="J65" s="26">
        <v>43990</v>
      </c>
      <c r="K65" s="27">
        <v>1</v>
      </c>
      <c r="L65" s="26">
        <f>ListaDeInventario[[#This Row],[Precio por unidad]]*ListaDeInventario[[#This Row],[Cantidad en existencias]]</f>
        <v>43990</v>
      </c>
      <c r="M65" s="27">
        <v>5</v>
      </c>
      <c r="N65" s="27">
        <v>395</v>
      </c>
      <c r="O65" s="11" t="s">
        <v>38</v>
      </c>
      <c r="P65" s="13" t="s">
        <v>42</v>
      </c>
      <c r="Q65" s="13" t="s">
        <v>136</v>
      </c>
      <c r="R65" s="28"/>
    </row>
    <row r="66" spans="2:18" ht="30" customHeight="1" x14ac:dyDescent="0.25">
      <c r="B66" s="24">
        <f>IFERROR((ListaDeInventario[[#This Row],[Cantidad en existencias]]&lt;=ListaDeInventario[[#This Row],[Stock critico]])*(ListaDeInventario[[#This Row],[subdivision]]="")*valResaltado,0)</f>
        <v>0</v>
      </c>
      <c r="C66" s="8" t="s">
        <v>140</v>
      </c>
      <c r="D66" s="8" t="s">
        <v>188</v>
      </c>
      <c r="E66" s="22" t="s">
        <v>137</v>
      </c>
      <c r="F66" s="8"/>
      <c r="G66" s="25">
        <v>44</v>
      </c>
      <c r="H66" s="8" t="s">
        <v>97</v>
      </c>
      <c r="I66" s="8" t="s">
        <v>200</v>
      </c>
      <c r="J66" s="26">
        <v>43990</v>
      </c>
      <c r="K66" s="27">
        <v>6</v>
      </c>
      <c r="L66" s="26">
        <f>ListaDeInventario[[#This Row],[Precio por unidad]]*ListaDeInventario[[#This Row],[Cantidad en existencias]]</f>
        <v>263940</v>
      </c>
      <c r="M66" s="27">
        <v>4</v>
      </c>
      <c r="N66" s="27">
        <v>395</v>
      </c>
      <c r="O66" s="11" t="s">
        <v>38</v>
      </c>
      <c r="P66" s="13" t="s">
        <v>42</v>
      </c>
      <c r="Q66" s="13" t="s">
        <v>136</v>
      </c>
      <c r="R66" s="28"/>
    </row>
    <row r="67" spans="2:18" ht="30" customHeight="1" x14ac:dyDescent="0.25">
      <c r="B67" s="24">
        <f>IFERROR((ListaDeInventario[[#This Row],[Cantidad en existencias]]&lt;=ListaDeInventario[[#This Row],[Stock critico]])*(ListaDeInventario[[#This Row],[subdivision]]="")*valResaltado,0)</f>
        <v>0</v>
      </c>
      <c r="C67" s="8" t="s">
        <v>141</v>
      </c>
      <c r="D67" s="8" t="s">
        <v>188</v>
      </c>
      <c r="E67" s="22" t="s">
        <v>137</v>
      </c>
      <c r="F67" s="8"/>
      <c r="G67" s="25">
        <v>45</v>
      </c>
      <c r="H67" s="8" t="s">
        <v>97</v>
      </c>
      <c r="I67" s="8" t="s">
        <v>200</v>
      </c>
      <c r="J67" s="26">
        <v>43990</v>
      </c>
      <c r="K67" s="27">
        <v>5</v>
      </c>
      <c r="L67" s="26">
        <f>ListaDeInventario[[#This Row],[Precio por unidad]]*ListaDeInventario[[#This Row],[Cantidad en existencias]]</f>
        <v>219950</v>
      </c>
      <c r="M67" s="27">
        <v>4</v>
      </c>
      <c r="N67" s="27">
        <v>395</v>
      </c>
      <c r="O67" s="11" t="s">
        <v>38</v>
      </c>
      <c r="P67" s="13" t="s">
        <v>42</v>
      </c>
      <c r="Q67" s="13" t="s">
        <v>136</v>
      </c>
      <c r="R67" s="28"/>
    </row>
    <row r="68" spans="2:18" ht="30" customHeight="1" x14ac:dyDescent="0.25">
      <c r="B68" s="24">
        <f>IFERROR((ListaDeInventario[[#This Row],[Cantidad en existencias]]&lt;=ListaDeInventario[[#This Row],[Stock critico]])*(ListaDeInventario[[#This Row],[subdivision]]="")*valResaltado,0)</f>
        <v>0</v>
      </c>
      <c r="C68" s="8" t="s">
        <v>142</v>
      </c>
      <c r="D68" s="8" t="s">
        <v>188</v>
      </c>
      <c r="E68" s="22" t="s">
        <v>137</v>
      </c>
      <c r="F68" s="8"/>
      <c r="G68" s="25">
        <v>46</v>
      </c>
      <c r="H68" s="8" t="s">
        <v>97</v>
      </c>
      <c r="I68" s="8" t="s">
        <v>200</v>
      </c>
      <c r="J68" s="26">
        <v>43990</v>
      </c>
      <c r="K68" s="27">
        <v>0</v>
      </c>
      <c r="L68" s="26">
        <f>ListaDeInventario[[#This Row],[Precio por unidad]]*ListaDeInventario[[#This Row],[Cantidad en existencias]]</f>
        <v>0</v>
      </c>
      <c r="M68" s="27">
        <v>1</v>
      </c>
      <c r="N68" s="27">
        <v>395</v>
      </c>
      <c r="O68" s="11" t="s">
        <v>38</v>
      </c>
      <c r="P68" s="13" t="s">
        <v>42</v>
      </c>
      <c r="Q68" s="13" t="s">
        <v>136</v>
      </c>
      <c r="R68" s="28"/>
    </row>
    <row r="69" spans="2:18" ht="30" customHeight="1" x14ac:dyDescent="0.25">
      <c r="B69" s="24">
        <f>IFERROR((ListaDeInventario[[#This Row],[Cantidad en existencias]]&lt;=ListaDeInventario[[#This Row],[Stock critico]])*(ListaDeInventario[[#This Row],[subdivision]]="")*valResaltado,0)</f>
        <v>0</v>
      </c>
      <c r="C69" s="8" t="s">
        <v>143</v>
      </c>
      <c r="D69" s="8" t="s">
        <v>188</v>
      </c>
      <c r="E69" s="22" t="s">
        <v>45</v>
      </c>
      <c r="F69" s="8"/>
      <c r="G69" s="22" t="s">
        <v>48</v>
      </c>
      <c r="H69" s="8" t="s">
        <v>97</v>
      </c>
      <c r="I69" s="8" t="s">
        <v>103</v>
      </c>
      <c r="J69" s="26">
        <v>8600</v>
      </c>
      <c r="K69" s="27">
        <v>3</v>
      </c>
      <c r="L69" s="26">
        <f>ListaDeInventario[[#This Row],[Precio por unidad]]*ListaDeInventario[[#This Row],[Cantidad en existencias]]</f>
        <v>25800</v>
      </c>
      <c r="M69" s="27">
        <v>5</v>
      </c>
      <c r="N69" s="11" t="s">
        <v>191</v>
      </c>
      <c r="O69" s="11" t="s">
        <v>38</v>
      </c>
      <c r="P69" s="13" t="s">
        <v>42</v>
      </c>
      <c r="Q69" s="13" t="s">
        <v>136</v>
      </c>
      <c r="R69" s="28"/>
    </row>
    <row r="70" spans="2:18" ht="30" customHeight="1" x14ac:dyDescent="0.25">
      <c r="B70" s="24">
        <f>IFERROR((ListaDeInventario[[#This Row],[Cantidad en existencias]]&lt;=ListaDeInventario[[#This Row],[Stock critico]])*(ListaDeInventario[[#This Row],[subdivision]]="")*valResaltado,0)</f>
        <v>0</v>
      </c>
      <c r="C70" s="8" t="s">
        <v>144</v>
      </c>
      <c r="D70" s="8" t="s">
        <v>188</v>
      </c>
      <c r="E70" s="22" t="s">
        <v>91</v>
      </c>
      <c r="F70" s="8"/>
      <c r="G70" s="22" t="s">
        <v>92</v>
      </c>
      <c r="H70" s="8" t="s">
        <v>97</v>
      </c>
      <c r="I70" s="8" t="s">
        <v>110</v>
      </c>
      <c r="J70" s="26">
        <v>13000</v>
      </c>
      <c r="K70" s="27">
        <v>0</v>
      </c>
      <c r="L70" s="26">
        <f>ListaDeInventario[[#This Row],[Precio por unidad]]*ListaDeInventario[[#This Row],[Cantidad en existencias]]</f>
        <v>0</v>
      </c>
      <c r="M70" s="27">
        <v>5</v>
      </c>
      <c r="N70" s="11" t="s">
        <v>191</v>
      </c>
      <c r="O70" s="11" t="s">
        <v>38</v>
      </c>
      <c r="P70" s="13" t="s">
        <v>39</v>
      </c>
      <c r="Q70" s="13" t="s">
        <v>136</v>
      </c>
      <c r="R70" s="28"/>
    </row>
    <row r="71" spans="2:18" ht="30" customHeight="1" x14ac:dyDescent="0.25">
      <c r="B71" s="24">
        <f>IFERROR((ListaDeInventario[[#This Row],[Cantidad en existencias]]&lt;=ListaDeInventario[[#This Row],[Stock critico]])*(ListaDeInventario[[#This Row],[subdivision]]="")*valResaltado,0)</f>
        <v>0</v>
      </c>
      <c r="C71" s="8" t="s">
        <v>145</v>
      </c>
      <c r="D71" s="8" t="s">
        <v>187</v>
      </c>
      <c r="E71" s="22" t="s">
        <v>132</v>
      </c>
      <c r="F71" s="8"/>
      <c r="G71" s="22" t="s">
        <v>94</v>
      </c>
      <c r="H71" s="8" t="s">
        <v>97</v>
      </c>
      <c r="I71" s="8" t="s">
        <v>110</v>
      </c>
      <c r="J71" s="26">
        <v>6500</v>
      </c>
      <c r="K71" s="27">
        <v>0</v>
      </c>
      <c r="L71" s="26">
        <f>ListaDeInventario[[#This Row],[Precio por unidad]]*ListaDeInventario[[#This Row],[Cantidad en existencias]]</f>
        <v>0</v>
      </c>
      <c r="M71" s="27">
        <v>5</v>
      </c>
      <c r="N71" s="11" t="s">
        <v>191</v>
      </c>
      <c r="O71" s="11" t="s">
        <v>38</v>
      </c>
      <c r="P71" s="13" t="s">
        <v>42</v>
      </c>
      <c r="Q71" s="13" t="s">
        <v>136</v>
      </c>
      <c r="R71" s="28"/>
    </row>
    <row r="72" spans="2:18" ht="30" customHeight="1" x14ac:dyDescent="0.25">
      <c r="B72" s="24">
        <f>IFERROR((ListaDeInventario[[#This Row],[Cantidad en existencias]]&lt;=ListaDeInventario[[#This Row],[Stock critico]])*(ListaDeInventario[[#This Row],[subdivision]]="")*valResaltado,0)</f>
        <v>0</v>
      </c>
      <c r="C72" s="8" t="s">
        <v>146</v>
      </c>
      <c r="D72" s="8" t="s">
        <v>187</v>
      </c>
      <c r="E72" s="22" t="s">
        <v>192</v>
      </c>
      <c r="F72" s="8"/>
      <c r="G72" s="22" t="s">
        <v>193</v>
      </c>
      <c r="H72" s="8" t="s">
        <v>97</v>
      </c>
      <c r="I72" s="8" t="s">
        <v>194</v>
      </c>
      <c r="J72" s="26">
        <v>700</v>
      </c>
      <c r="K72" s="27">
        <v>70</v>
      </c>
      <c r="L72" s="26">
        <f>ListaDeInventario[[#This Row],[Precio por unidad]]*ListaDeInventario[[#This Row],[Cantidad en existencias]]</f>
        <v>49000</v>
      </c>
      <c r="M72" s="27">
        <v>10</v>
      </c>
      <c r="N72" s="11">
        <v>395</v>
      </c>
      <c r="O72" s="11" t="s">
        <v>38</v>
      </c>
      <c r="P72" s="13" t="s">
        <v>39</v>
      </c>
      <c r="Q72" s="13" t="s">
        <v>136</v>
      </c>
      <c r="R72" s="28"/>
    </row>
    <row r="73" spans="2:18" ht="30" customHeight="1" x14ac:dyDescent="0.25">
      <c r="B73" s="24">
        <f>IFERROR((ListaDeInventario[[#This Row],[Cantidad en existencias]]&lt;=ListaDeInventario[[#This Row],[Stock critico]])*(ListaDeInventario[[#This Row],[subdivision]]="")*valResaltado,0)</f>
        <v>0</v>
      </c>
      <c r="C73" s="8" t="s">
        <v>147</v>
      </c>
      <c r="D73" s="8" t="s">
        <v>188</v>
      </c>
      <c r="E73" s="22" t="s">
        <v>195</v>
      </c>
      <c r="F73" s="8"/>
      <c r="G73" s="22" t="s">
        <v>92</v>
      </c>
      <c r="H73" s="8" t="s">
        <v>97</v>
      </c>
      <c r="I73" s="8" t="s">
        <v>196</v>
      </c>
      <c r="J73" s="26">
        <v>19500</v>
      </c>
      <c r="K73" s="27">
        <v>3</v>
      </c>
      <c r="L73" s="26">
        <f>ListaDeInventario[[#This Row],[Precio por unidad]]*ListaDeInventario[[#This Row],[Cantidad en existencias]]</f>
        <v>58500</v>
      </c>
      <c r="M73" s="27">
        <v>1</v>
      </c>
      <c r="N73" s="27">
        <v>395</v>
      </c>
      <c r="O73" s="11" t="s">
        <v>38</v>
      </c>
      <c r="P73" s="13" t="s">
        <v>42</v>
      </c>
      <c r="Q73" s="13" t="s">
        <v>136</v>
      </c>
      <c r="R73" s="28"/>
    </row>
    <row r="74" spans="2:18" ht="30" customHeight="1" x14ac:dyDescent="0.25">
      <c r="B74" s="24">
        <f>IFERROR((ListaDeInventario[[#This Row],[Cantidad en existencias]]&lt;=ListaDeInventario[[#This Row],[Stock critico]])*(ListaDeInventario[[#This Row],[subdivision]]="")*valResaltado,0)</f>
        <v>0</v>
      </c>
      <c r="C74" s="8" t="s">
        <v>148</v>
      </c>
      <c r="D74" s="8" t="s">
        <v>188</v>
      </c>
      <c r="E74" s="22" t="s">
        <v>195</v>
      </c>
      <c r="F74" s="8"/>
      <c r="G74" s="22" t="s">
        <v>93</v>
      </c>
      <c r="H74" s="8" t="s">
        <v>97</v>
      </c>
      <c r="I74" s="8" t="s">
        <v>196</v>
      </c>
      <c r="J74" s="26">
        <v>19500</v>
      </c>
      <c r="K74" s="27">
        <v>16</v>
      </c>
      <c r="L74" s="26">
        <f>ListaDeInventario[[#This Row],[Precio por unidad]]*ListaDeInventario[[#This Row],[Cantidad en existencias]]</f>
        <v>312000</v>
      </c>
      <c r="M74" s="27">
        <v>5</v>
      </c>
      <c r="N74" s="27">
        <v>395</v>
      </c>
      <c r="O74" s="11" t="s">
        <v>38</v>
      </c>
      <c r="P74" s="13" t="s">
        <v>42</v>
      </c>
      <c r="Q74" s="13" t="s">
        <v>136</v>
      </c>
      <c r="R74" s="28"/>
    </row>
    <row r="75" spans="2:18" ht="30" customHeight="1" x14ac:dyDescent="0.25">
      <c r="B75" s="24">
        <f>IFERROR((ListaDeInventario[[#This Row],[Cantidad en existencias]]&lt;=ListaDeInventario[[#This Row],[Stock critico]])*(ListaDeInventario[[#This Row],[subdivision]]="")*valResaltado,0)</f>
        <v>0</v>
      </c>
      <c r="C75" s="8" t="s">
        <v>149</v>
      </c>
      <c r="D75" s="8" t="s">
        <v>188</v>
      </c>
      <c r="E75" s="22" t="s">
        <v>195</v>
      </c>
      <c r="F75" s="8"/>
      <c r="G75" s="22" t="s">
        <v>197</v>
      </c>
      <c r="H75" s="8" t="s">
        <v>97</v>
      </c>
      <c r="I75" s="8" t="s">
        <v>196</v>
      </c>
      <c r="J75" s="26">
        <v>19500</v>
      </c>
      <c r="K75" s="27">
        <v>33</v>
      </c>
      <c r="L75" s="26">
        <f>ListaDeInventario[[#This Row],[Precio por unidad]]*ListaDeInventario[[#This Row],[Cantidad en existencias]]</f>
        <v>643500</v>
      </c>
      <c r="M75" s="27">
        <v>5</v>
      </c>
      <c r="N75" s="27">
        <v>395</v>
      </c>
      <c r="O75" s="11" t="s">
        <v>38</v>
      </c>
      <c r="P75" s="13" t="s">
        <v>42</v>
      </c>
      <c r="Q75" s="13" t="s">
        <v>136</v>
      </c>
      <c r="R75" s="28"/>
    </row>
    <row r="76" spans="2:18" ht="30" customHeight="1" x14ac:dyDescent="0.25">
      <c r="B76" s="24">
        <f>IFERROR((ListaDeInventario[[#This Row],[Cantidad en existencias]]&lt;=ListaDeInventario[[#This Row],[Stock critico]])*(ListaDeInventario[[#This Row],[subdivision]]="")*valResaltado,0)</f>
        <v>0</v>
      </c>
      <c r="C76" s="8" t="s">
        <v>150</v>
      </c>
      <c r="D76" s="8" t="s">
        <v>188</v>
      </c>
      <c r="E76" s="22" t="s">
        <v>195</v>
      </c>
      <c r="F76" s="8"/>
      <c r="G76" s="22" t="s">
        <v>198</v>
      </c>
      <c r="H76" s="8" t="s">
        <v>97</v>
      </c>
      <c r="I76" s="8" t="s">
        <v>196</v>
      </c>
      <c r="J76" s="26">
        <v>19500</v>
      </c>
      <c r="K76" s="27">
        <v>20</v>
      </c>
      <c r="L76" s="26">
        <f>ListaDeInventario[[#This Row],[Precio por unidad]]*ListaDeInventario[[#This Row],[Cantidad en existencias]]</f>
        <v>390000</v>
      </c>
      <c r="M76" s="27">
        <v>5</v>
      </c>
      <c r="N76" s="27">
        <v>395</v>
      </c>
      <c r="O76" s="11" t="s">
        <v>38</v>
      </c>
      <c r="P76" s="13" t="s">
        <v>42</v>
      </c>
      <c r="Q76" s="13" t="s">
        <v>136</v>
      </c>
      <c r="R76" s="28"/>
    </row>
    <row r="77" spans="2:18" ht="30" customHeight="1" x14ac:dyDescent="0.25">
      <c r="B77" s="24">
        <f>IFERROR((ListaDeInventario[[#This Row],[Cantidad en existencias]]&lt;=ListaDeInventario[[#This Row],[Stock critico]])*(ListaDeInventario[[#This Row],[subdivision]]="")*valResaltado,0)</f>
        <v>0</v>
      </c>
      <c r="C77" s="8" t="s">
        <v>151</v>
      </c>
      <c r="D77" s="8" t="s">
        <v>188</v>
      </c>
      <c r="E77" s="22" t="s">
        <v>195</v>
      </c>
      <c r="F77" s="8"/>
      <c r="G77" s="22" t="s">
        <v>96</v>
      </c>
      <c r="H77" s="8" t="s">
        <v>97</v>
      </c>
      <c r="I77" s="8" t="s">
        <v>196</v>
      </c>
      <c r="J77" s="26">
        <v>19500</v>
      </c>
      <c r="K77" s="27">
        <v>0</v>
      </c>
      <c r="L77" s="26">
        <f>ListaDeInventario[[#This Row],[Precio por unidad]]*ListaDeInventario[[#This Row],[Cantidad en existencias]]</f>
        <v>0</v>
      </c>
      <c r="M77" s="27">
        <v>5</v>
      </c>
      <c r="N77" s="27">
        <v>395</v>
      </c>
      <c r="O77" s="11" t="s">
        <v>38</v>
      </c>
      <c r="P77" s="13" t="s">
        <v>42</v>
      </c>
      <c r="Q77" s="13" t="s">
        <v>136</v>
      </c>
      <c r="R77" s="28"/>
    </row>
    <row r="78" spans="2:18" ht="30" customHeight="1" x14ac:dyDescent="0.25">
      <c r="B78" s="24">
        <f>IFERROR((ListaDeInventario[[#This Row],[Cantidad en existencias]]&lt;=ListaDeInventario[[#This Row],[Stock critico]])*(ListaDeInventario[[#This Row],[subdivision]]="")*valResaltado,0)</f>
        <v>0</v>
      </c>
      <c r="C78" s="8" t="s">
        <v>152</v>
      </c>
      <c r="D78" s="8" t="s">
        <v>188</v>
      </c>
      <c r="E78" s="22" t="s">
        <v>199</v>
      </c>
      <c r="F78" s="8"/>
      <c r="G78" s="22" t="s">
        <v>93</v>
      </c>
      <c r="H78" s="8" t="s">
        <v>97</v>
      </c>
      <c r="I78" s="8" t="s">
        <v>110</v>
      </c>
      <c r="J78" s="26">
        <v>4300</v>
      </c>
      <c r="K78" s="27">
        <v>49</v>
      </c>
      <c r="L78" s="26">
        <f>ListaDeInventario[[#This Row],[Precio por unidad]]*ListaDeInventario[[#This Row],[Cantidad en existencias]]</f>
        <v>210700</v>
      </c>
      <c r="M78" s="27">
        <v>5</v>
      </c>
      <c r="N78" s="27">
        <v>395</v>
      </c>
      <c r="O78" s="11" t="s">
        <v>38</v>
      </c>
      <c r="P78" s="13" t="s">
        <v>42</v>
      </c>
      <c r="Q78" s="13" t="s">
        <v>136</v>
      </c>
      <c r="R78" s="28"/>
    </row>
    <row r="79" spans="2:18" ht="30" customHeight="1" x14ac:dyDescent="0.25">
      <c r="B79" s="24">
        <f>IFERROR((ListaDeInventario[[#This Row],[Cantidad en existencias]]&lt;=ListaDeInventario[[#This Row],[Stock critico]])*(ListaDeInventario[[#This Row],[subdivision]]="")*valResaltado,0)</f>
        <v>0</v>
      </c>
      <c r="C79" s="8" t="s">
        <v>153</v>
      </c>
      <c r="D79" s="8" t="s">
        <v>188</v>
      </c>
      <c r="E79" s="22" t="s">
        <v>199</v>
      </c>
      <c r="F79" s="8"/>
      <c r="G79" s="22" t="s">
        <v>94</v>
      </c>
      <c r="H79" s="8" t="s">
        <v>97</v>
      </c>
      <c r="I79" s="8" t="s">
        <v>110</v>
      </c>
      <c r="J79" s="26">
        <v>4300</v>
      </c>
      <c r="K79" s="27">
        <v>0</v>
      </c>
      <c r="L79" s="26">
        <f>ListaDeInventario[[#This Row],[Precio por unidad]]*ListaDeInventario[[#This Row],[Cantidad en existencias]]</f>
        <v>0</v>
      </c>
      <c r="M79" s="27">
        <v>5</v>
      </c>
      <c r="N79" s="27">
        <v>395</v>
      </c>
      <c r="O79" s="11" t="s">
        <v>38</v>
      </c>
      <c r="P79" s="13" t="s">
        <v>42</v>
      </c>
      <c r="Q79" s="13" t="s">
        <v>136</v>
      </c>
      <c r="R79" s="19" t="s">
        <v>206</v>
      </c>
    </row>
    <row r="80" spans="2:18" ht="30" customHeight="1" x14ac:dyDescent="0.25">
      <c r="B80" s="24">
        <f>IFERROR((ListaDeInventario[[#This Row],[Cantidad en existencias]]&lt;=ListaDeInventario[[#This Row],[Stock critico]])*(ListaDeInventario[[#This Row],[subdivision]]="")*valResaltado,0)</f>
        <v>0</v>
      </c>
      <c r="C80" s="8" t="s">
        <v>154</v>
      </c>
      <c r="D80" s="8" t="s">
        <v>188</v>
      </c>
      <c r="E80" s="22" t="s">
        <v>199</v>
      </c>
      <c r="F80" s="8"/>
      <c r="G80" s="22" t="s">
        <v>95</v>
      </c>
      <c r="H80" s="8" t="s">
        <v>97</v>
      </c>
      <c r="I80" s="8" t="s">
        <v>110</v>
      </c>
      <c r="J80" s="26">
        <v>4300</v>
      </c>
      <c r="K80" s="27">
        <v>32</v>
      </c>
      <c r="L80" s="26">
        <f>ListaDeInventario[[#This Row],[Precio por unidad]]*ListaDeInventario[[#This Row],[Cantidad en existencias]]</f>
        <v>137600</v>
      </c>
      <c r="M80" s="27">
        <v>5</v>
      </c>
      <c r="N80" s="27">
        <v>395</v>
      </c>
      <c r="O80" s="11" t="s">
        <v>38</v>
      </c>
      <c r="P80" s="13" t="s">
        <v>42</v>
      </c>
      <c r="Q80" s="13" t="s">
        <v>136</v>
      </c>
      <c r="R80" s="19" t="s">
        <v>207</v>
      </c>
    </row>
    <row r="81" spans="2:18" ht="30" customHeight="1" x14ac:dyDescent="0.25">
      <c r="B81" s="24">
        <f>IFERROR((ListaDeInventario[[#This Row],[Cantidad en existencias]]&lt;=ListaDeInventario[[#This Row],[Stock critico]])*(ListaDeInventario[[#This Row],[subdivision]]="")*valResaltado,0)</f>
        <v>0</v>
      </c>
      <c r="C81" s="8" t="s">
        <v>155</v>
      </c>
      <c r="D81" s="8" t="s">
        <v>188</v>
      </c>
      <c r="E81" s="22" t="s">
        <v>199</v>
      </c>
      <c r="F81" s="8"/>
      <c r="G81" s="22" t="s">
        <v>96</v>
      </c>
      <c r="H81" s="8" t="s">
        <v>97</v>
      </c>
      <c r="I81" s="8" t="s">
        <v>110</v>
      </c>
      <c r="J81" s="26">
        <v>4300</v>
      </c>
      <c r="K81" s="27">
        <v>11</v>
      </c>
      <c r="L81" s="26">
        <f>ListaDeInventario[[#This Row],[Precio por unidad]]*ListaDeInventario[[#This Row],[Cantidad en existencias]]</f>
        <v>47300</v>
      </c>
      <c r="M81" s="27">
        <v>5</v>
      </c>
      <c r="N81" s="27">
        <v>395</v>
      </c>
      <c r="O81" s="11" t="s">
        <v>38</v>
      </c>
      <c r="P81" s="13" t="s">
        <v>42</v>
      </c>
      <c r="Q81" s="13" t="s">
        <v>136</v>
      </c>
      <c r="R81" s="28"/>
    </row>
    <row r="82" spans="2:18" ht="30" customHeight="1" x14ac:dyDescent="0.25">
      <c r="B82" s="24">
        <f>IFERROR((ListaDeInventario[[#This Row],[Cantidad en existencias]]&lt;=ListaDeInventario[[#This Row],[Stock critico]])*(ListaDeInventario[[#This Row],[subdivision]]="")*valResaltado,0)</f>
        <v>0</v>
      </c>
      <c r="C82" s="8" t="s">
        <v>156</v>
      </c>
      <c r="D82" s="8" t="s">
        <v>188</v>
      </c>
      <c r="E82" s="22" t="s">
        <v>137</v>
      </c>
      <c r="F82" s="8"/>
      <c r="G82" s="25">
        <v>39</v>
      </c>
      <c r="H82" s="8" t="s">
        <v>97</v>
      </c>
      <c r="I82" s="8" t="s">
        <v>200</v>
      </c>
      <c r="J82" s="26">
        <v>40000</v>
      </c>
      <c r="K82" s="27">
        <v>6</v>
      </c>
      <c r="L82" s="26">
        <f>ListaDeInventario[[#This Row],[Precio por unidad]]*ListaDeInventario[[#This Row],[Cantidad en existencias]]</f>
        <v>240000</v>
      </c>
      <c r="M82" s="27">
        <v>2</v>
      </c>
      <c r="N82" s="27">
        <v>395</v>
      </c>
      <c r="O82" s="11" t="s">
        <v>38</v>
      </c>
      <c r="P82" s="13" t="s">
        <v>42</v>
      </c>
      <c r="Q82" s="13" t="s">
        <v>136</v>
      </c>
      <c r="R82" s="28"/>
    </row>
    <row r="83" spans="2:18" ht="30" customHeight="1" x14ac:dyDescent="0.25">
      <c r="B83" s="24">
        <f>IFERROR((ListaDeInventario[[#This Row],[Cantidad en existencias]]&lt;=ListaDeInventario[[#This Row],[Stock critico]])*(ListaDeInventario[[#This Row],[subdivision]]="")*valResaltado,0)</f>
        <v>0</v>
      </c>
      <c r="C83" s="8" t="s">
        <v>157</v>
      </c>
      <c r="D83" s="8" t="s">
        <v>188</v>
      </c>
      <c r="E83" s="22" t="s">
        <v>137</v>
      </c>
      <c r="F83" s="8"/>
      <c r="G83" s="25">
        <v>40</v>
      </c>
      <c r="H83" s="8" t="s">
        <v>97</v>
      </c>
      <c r="I83" s="8" t="s">
        <v>200</v>
      </c>
      <c r="J83" s="26">
        <v>40000</v>
      </c>
      <c r="K83" s="27">
        <v>15</v>
      </c>
      <c r="L83" s="26">
        <f>ListaDeInventario[[#This Row],[Precio por unidad]]*ListaDeInventario[[#This Row],[Cantidad en existencias]]</f>
        <v>600000</v>
      </c>
      <c r="M83" s="27">
        <v>4</v>
      </c>
      <c r="N83" s="27">
        <v>395</v>
      </c>
      <c r="O83" s="11" t="s">
        <v>38</v>
      </c>
      <c r="P83" s="13" t="s">
        <v>42</v>
      </c>
      <c r="Q83" s="13" t="s">
        <v>136</v>
      </c>
      <c r="R83" s="28"/>
    </row>
    <row r="84" spans="2:18" ht="30" customHeight="1" x14ac:dyDescent="0.25">
      <c r="B84" s="24">
        <f>IFERROR((ListaDeInventario[[#This Row],[Cantidad en existencias]]&lt;=ListaDeInventario[[#This Row],[Stock critico]])*(ListaDeInventario[[#This Row],[subdivision]]="")*valResaltado,0)</f>
        <v>0</v>
      </c>
      <c r="C84" s="8" t="s">
        <v>158</v>
      </c>
      <c r="D84" s="8" t="s">
        <v>188</v>
      </c>
      <c r="E84" s="22" t="s">
        <v>137</v>
      </c>
      <c r="F84" s="8"/>
      <c r="G84" s="25">
        <v>41</v>
      </c>
      <c r="H84" s="8" t="s">
        <v>97</v>
      </c>
      <c r="I84" s="8" t="s">
        <v>200</v>
      </c>
      <c r="J84" s="26">
        <v>40000</v>
      </c>
      <c r="K84" s="27">
        <v>19</v>
      </c>
      <c r="L84" s="26">
        <f>ListaDeInventario[[#This Row],[Precio por unidad]]*ListaDeInventario[[#This Row],[Cantidad en existencias]]</f>
        <v>760000</v>
      </c>
      <c r="M84" s="27">
        <v>4</v>
      </c>
      <c r="N84" s="27">
        <v>395</v>
      </c>
      <c r="O84" s="11" t="s">
        <v>38</v>
      </c>
      <c r="P84" s="13" t="s">
        <v>42</v>
      </c>
      <c r="Q84" s="13" t="s">
        <v>136</v>
      </c>
      <c r="R84" s="28"/>
    </row>
    <row r="85" spans="2:18" ht="30" customHeight="1" x14ac:dyDescent="0.25">
      <c r="B85" s="24">
        <f>IFERROR((ListaDeInventario[[#This Row],[Cantidad en existencias]]&lt;=ListaDeInventario[[#This Row],[Stock critico]])*(ListaDeInventario[[#This Row],[subdivision]]="")*valResaltado,0)</f>
        <v>0</v>
      </c>
      <c r="C85" s="8" t="s">
        <v>159</v>
      </c>
      <c r="D85" s="8" t="s">
        <v>188</v>
      </c>
      <c r="E85" s="22" t="s">
        <v>137</v>
      </c>
      <c r="F85" s="8"/>
      <c r="G85" s="25">
        <v>42</v>
      </c>
      <c r="H85" s="8" t="s">
        <v>97</v>
      </c>
      <c r="I85" s="8" t="s">
        <v>200</v>
      </c>
      <c r="J85" s="26">
        <v>40000</v>
      </c>
      <c r="K85" s="27">
        <v>38</v>
      </c>
      <c r="L85" s="26">
        <f>ListaDeInventario[[#This Row],[Precio por unidad]]*ListaDeInventario[[#This Row],[Cantidad en existencias]]</f>
        <v>1520000</v>
      </c>
      <c r="M85" s="27">
        <v>4</v>
      </c>
      <c r="N85" s="27">
        <v>395</v>
      </c>
      <c r="O85" s="11" t="s">
        <v>38</v>
      </c>
      <c r="P85" s="13" t="s">
        <v>42</v>
      </c>
      <c r="Q85" s="13" t="s">
        <v>136</v>
      </c>
      <c r="R85" s="28"/>
    </row>
    <row r="86" spans="2:18" ht="30" customHeight="1" x14ac:dyDescent="0.25">
      <c r="B86" s="24">
        <f>IFERROR((ListaDeInventario[[#This Row],[Cantidad en existencias]]&lt;=ListaDeInventario[[#This Row],[Stock critico]])*(ListaDeInventario[[#This Row],[subdivision]]="")*valResaltado,0)</f>
        <v>0</v>
      </c>
      <c r="C86" s="8" t="s">
        <v>160</v>
      </c>
      <c r="D86" s="8" t="s">
        <v>188</v>
      </c>
      <c r="E86" s="22" t="s">
        <v>137</v>
      </c>
      <c r="F86" s="8"/>
      <c r="G86" s="25">
        <v>43</v>
      </c>
      <c r="H86" s="8" t="s">
        <v>97</v>
      </c>
      <c r="I86" s="8" t="s">
        <v>200</v>
      </c>
      <c r="J86" s="26">
        <v>40000</v>
      </c>
      <c r="K86" s="27">
        <v>28</v>
      </c>
      <c r="L86" s="26">
        <f>ListaDeInventario[[#This Row],[Precio por unidad]]*ListaDeInventario[[#This Row],[Cantidad en existencias]]</f>
        <v>1120000</v>
      </c>
      <c r="M86" s="27">
        <v>4</v>
      </c>
      <c r="N86" s="27">
        <v>395</v>
      </c>
      <c r="O86" s="11" t="s">
        <v>38</v>
      </c>
      <c r="P86" s="13" t="s">
        <v>42</v>
      </c>
      <c r="Q86" s="13" t="s">
        <v>136</v>
      </c>
      <c r="R86" s="28"/>
    </row>
    <row r="87" spans="2:18" ht="30" customHeight="1" x14ac:dyDescent="0.25">
      <c r="B87" s="24">
        <f>IFERROR((ListaDeInventario[[#This Row],[Cantidad en existencias]]&lt;=ListaDeInventario[[#This Row],[Stock critico]])*(ListaDeInventario[[#This Row],[subdivision]]="")*valResaltado,0)</f>
        <v>0</v>
      </c>
      <c r="C87" s="8" t="s">
        <v>161</v>
      </c>
      <c r="D87" s="8" t="s">
        <v>188</v>
      </c>
      <c r="E87" s="22" t="s">
        <v>137</v>
      </c>
      <c r="F87" s="8"/>
      <c r="G87" s="25">
        <v>44</v>
      </c>
      <c r="H87" s="8" t="s">
        <v>97</v>
      </c>
      <c r="I87" s="8" t="s">
        <v>200</v>
      </c>
      <c r="J87" s="26">
        <v>40000</v>
      </c>
      <c r="K87" s="27">
        <v>4</v>
      </c>
      <c r="L87" s="26">
        <f>ListaDeInventario[[#This Row],[Precio por unidad]]*ListaDeInventario[[#This Row],[Cantidad en existencias]]</f>
        <v>160000</v>
      </c>
      <c r="M87" s="27">
        <v>2</v>
      </c>
      <c r="N87" s="27">
        <v>395</v>
      </c>
      <c r="O87" s="11" t="s">
        <v>38</v>
      </c>
      <c r="P87" s="13" t="s">
        <v>42</v>
      </c>
      <c r="Q87" s="13" t="s">
        <v>136</v>
      </c>
      <c r="R87" s="28"/>
    </row>
    <row r="88" spans="2:18" ht="30" customHeight="1" x14ac:dyDescent="0.25">
      <c r="B88" s="24">
        <f>IFERROR((ListaDeInventario[[#This Row],[Cantidad en existencias]]&lt;=ListaDeInventario[[#This Row],[Stock critico]])*(ListaDeInventario[[#This Row],[subdivision]]="")*valResaltado,0)</f>
        <v>0</v>
      </c>
      <c r="C88" s="8" t="s">
        <v>162</v>
      </c>
      <c r="D88" s="8" t="s">
        <v>187</v>
      </c>
      <c r="E88" s="22" t="s">
        <v>43</v>
      </c>
      <c r="F88" s="8"/>
      <c r="G88" s="22" t="s">
        <v>94</v>
      </c>
      <c r="H88" s="8" t="s">
        <v>97</v>
      </c>
      <c r="I88" s="8"/>
      <c r="J88" s="26">
        <v>2000</v>
      </c>
      <c r="K88" s="27">
        <v>66</v>
      </c>
      <c r="L88" s="26">
        <f>ListaDeInventario[[#This Row],[Precio por unidad]]*ListaDeInventario[[#This Row],[Cantidad en existencias]]</f>
        <v>132000</v>
      </c>
      <c r="M88" s="27">
        <v>10</v>
      </c>
      <c r="N88" s="27">
        <v>395</v>
      </c>
      <c r="O88" s="11" t="s">
        <v>38</v>
      </c>
      <c r="P88" s="13" t="s">
        <v>42</v>
      </c>
      <c r="Q88" s="13" t="s">
        <v>136</v>
      </c>
      <c r="R88" s="28"/>
    </row>
    <row r="89" spans="2:18" ht="30" customHeight="1" x14ac:dyDescent="0.25">
      <c r="B89" s="24">
        <f>IFERROR((ListaDeInventario[[#This Row],[Cantidad en existencias]]&lt;=ListaDeInventario[[#This Row],[Stock critico]])*(ListaDeInventario[[#This Row],[subdivision]]="")*valResaltado,0)</f>
        <v>0</v>
      </c>
      <c r="C89" s="8" t="s">
        <v>163</v>
      </c>
      <c r="D89" s="8" t="s">
        <v>187</v>
      </c>
      <c r="E89" s="22" t="s">
        <v>201</v>
      </c>
      <c r="F89" s="8"/>
      <c r="G89" s="25"/>
      <c r="H89" s="8" t="s">
        <v>97</v>
      </c>
      <c r="I89" s="8" t="s">
        <v>202</v>
      </c>
      <c r="J89" s="26"/>
      <c r="K89" s="27">
        <v>90</v>
      </c>
      <c r="L89" s="26">
        <f>ListaDeInventario[[#This Row],[Precio por unidad]]*ListaDeInventario[[#This Row],[Cantidad en existencias]]</f>
        <v>0</v>
      </c>
      <c r="M89" s="27">
        <v>10</v>
      </c>
      <c r="N89" s="27">
        <v>395</v>
      </c>
      <c r="O89" s="11" t="s">
        <v>38</v>
      </c>
      <c r="P89" s="13" t="s">
        <v>42</v>
      </c>
      <c r="Q89" s="13" t="s">
        <v>136</v>
      </c>
      <c r="R89" s="28"/>
    </row>
    <row r="90" spans="2:18" ht="30" customHeight="1" x14ac:dyDescent="0.25">
      <c r="B90" s="24">
        <f>IFERROR((ListaDeInventario[[#This Row],[Cantidad en existencias]]&lt;=ListaDeInventario[[#This Row],[Stock critico]])*(ListaDeInventario[[#This Row],[subdivision]]="")*valResaltado,0)</f>
        <v>0</v>
      </c>
      <c r="C90" s="8" t="s">
        <v>164</v>
      </c>
      <c r="D90" s="8" t="s">
        <v>187</v>
      </c>
      <c r="E90" s="22" t="s">
        <v>114</v>
      </c>
      <c r="F90" s="8"/>
      <c r="G90" s="22" t="s">
        <v>93</v>
      </c>
      <c r="H90" s="8" t="s">
        <v>97</v>
      </c>
      <c r="I90" s="8" t="s">
        <v>203</v>
      </c>
      <c r="J90" s="26">
        <v>3885</v>
      </c>
      <c r="K90" s="27">
        <v>29</v>
      </c>
      <c r="L90" s="26">
        <f>ListaDeInventario[[#This Row],[Precio por unidad]]*ListaDeInventario[[#This Row],[Cantidad en existencias]]</f>
        <v>112665</v>
      </c>
      <c r="M90" s="27">
        <v>10</v>
      </c>
      <c r="N90" s="27">
        <v>395</v>
      </c>
      <c r="O90" s="11" t="s">
        <v>38</v>
      </c>
      <c r="P90" s="13" t="s">
        <v>42</v>
      </c>
      <c r="Q90" s="13" t="s">
        <v>136</v>
      </c>
      <c r="R90" s="28"/>
    </row>
    <row r="91" spans="2:18" ht="30" customHeight="1" x14ac:dyDescent="0.25">
      <c r="B91" s="24">
        <f>IFERROR((ListaDeInventario[[#This Row],[Cantidad en existencias]]&lt;=ListaDeInventario[[#This Row],[Stock critico]])*(ListaDeInventario[[#This Row],[subdivision]]="")*valResaltado,0)</f>
        <v>0</v>
      </c>
      <c r="C91" s="8" t="s">
        <v>165</v>
      </c>
      <c r="D91" s="8" t="s">
        <v>187</v>
      </c>
      <c r="E91" s="22" t="s">
        <v>114</v>
      </c>
      <c r="F91" s="8"/>
      <c r="G91" s="22" t="s">
        <v>94</v>
      </c>
      <c r="H91" s="8" t="s">
        <v>97</v>
      </c>
      <c r="I91" s="8" t="s">
        <v>203</v>
      </c>
      <c r="J91" s="26">
        <v>3885</v>
      </c>
      <c r="K91" s="27">
        <v>40</v>
      </c>
      <c r="L91" s="26">
        <f>ListaDeInventario[[#This Row],[Precio por unidad]]*ListaDeInventario[[#This Row],[Cantidad en existencias]]</f>
        <v>155400</v>
      </c>
      <c r="M91" s="27">
        <v>10</v>
      </c>
      <c r="N91" s="27">
        <v>395</v>
      </c>
      <c r="O91" s="11" t="s">
        <v>38</v>
      </c>
      <c r="P91" s="13" t="s">
        <v>42</v>
      </c>
      <c r="Q91" s="13" t="s">
        <v>136</v>
      </c>
      <c r="R91" s="28"/>
    </row>
    <row r="92" spans="2:18" ht="30" customHeight="1" x14ac:dyDescent="0.25">
      <c r="B92" s="24">
        <f>IFERROR((ListaDeInventario[[#This Row],[Cantidad en existencias]]&lt;=ListaDeInventario[[#This Row],[Stock critico]])*(ListaDeInventario[[#This Row],[subdivision]]="")*valResaltado,0)</f>
        <v>0</v>
      </c>
      <c r="C92" s="8" t="s">
        <v>166</v>
      </c>
      <c r="D92" s="8" t="s">
        <v>187</v>
      </c>
      <c r="E92" s="22" t="s">
        <v>114</v>
      </c>
      <c r="F92" s="8"/>
      <c r="G92" s="22" t="s">
        <v>95</v>
      </c>
      <c r="H92" s="8" t="s">
        <v>97</v>
      </c>
      <c r="I92" s="8" t="s">
        <v>203</v>
      </c>
      <c r="J92" s="26">
        <v>3885</v>
      </c>
      <c r="K92" s="27">
        <v>15</v>
      </c>
      <c r="L92" s="26">
        <f>ListaDeInventario[[#This Row],[Precio por unidad]]*ListaDeInventario[[#This Row],[Cantidad en existencias]]</f>
        <v>58275</v>
      </c>
      <c r="M92" s="27">
        <v>10</v>
      </c>
      <c r="N92" s="27">
        <v>395</v>
      </c>
      <c r="O92" s="11" t="s">
        <v>38</v>
      </c>
      <c r="P92" s="13" t="s">
        <v>42</v>
      </c>
      <c r="Q92" s="13" t="s">
        <v>136</v>
      </c>
      <c r="R92" s="28"/>
    </row>
    <row r="93" spans="2:18" ht="30" customHeight="1" x14ac:dyDescent="0.25">
      <c r="B93" s="24">
        <f>IFERROR((ListaDeInventario[[#This Row],[Cantidad en existencias]]&lt;=ListaDeInventario[[#This Row],[Stock critico]])*(ListaDeInventario[[#This Row],[subdivision]]="")*valResaltado,0)</f>
        <v>0</v>
      </c>
      <c r="C93" s="8" t="s">
        <v>167</v>
      </c>
      <c r="D93" s="8" t="s">
        <v>187</v>
      </c>
      <c r="E93" s="22" t="s">
        <v>114</v>
      </c>
      <c r="F93" s="8"/>
      <c r="G93" s="22" t="s">
        <v>96</v>
      </c>
      <c r="H93" s="8" t="s">
        <v>97</v>
      </c>
      <c r="I93" s="8" t="s">
        <v>203</v>
      </c>
      <c r="J93" s="26">
        <v>3885</v>
      </c>
      <c r="K93" s="27">
        <v>1</v>
      </c>
      <c r="L93" s="26">
        <f>ListaDeInventario[[#This Row],[Precio por unidad]]*ListaDeInventario[[#This Row],[Cantidad en existencias]]</f>
        <v>3885</v>
      </c>
      <c r="M93" s="27">
        <v>10</v>
      </c>
      <c r="N93" s="27">
        <v>395</v>
      </c>
      <c r="O93" s="11" t="s">
        <v>38</v>
      </c>
      <c r="P93" s="13" t="s">
        <v>42</v>
      </c>
      <c r="Q93" s="13" t="s">
        <v>136</v>
      </c>
      <c r="R93" s="28"/>
    </row>
    <row r="94" spans="2:18" ht="30" customHeight="1" x14ac:dyDescent="0.25">
      <c r="B94" s="24">
        <f>IFERROR((ListaDeInventario[[#This Row],[Cantidad en existencias]]&lt;=ListaDeInventario[[#This Row],[Stock critico]])*(ListaDeInventario[[#This Row],[subdivision]]="")*valResaltado,0)</f>
        <v>0</v>
      </c>
      <c r="C94" s="8" t="s">
        <v>168</v>
      </c>
      <c r="D94" s="8" t="s">
        <v>187</v>
      </c>
      <c r="E94" s="22" t="s">
        <v>113</v>
      </c>
      <c r="F94" s="8"/>
      <c r="G94" s="22" t="s">
        <v>93</v>
      </c>
      <c r="H94" s="8" t="s">
        <v>97</v>
      </c>
      <c r="I94" s="8" t="s">
        <v>204</v>
      </c>
      <c r="J94" s="26">
        <v>22830</v>
      </c>
      <c r="K94" s="27">
        <v>8</v>
      </c>
      <c r="L94" s="26">
        <f>ListaDeInventario[[#This Row],[Precio por unidad]]*ListaDeInventario[[#This Row],[Cantidad en existencias]]</f>
        <v>182640</v>
      </c>
      <c r="M94" s="27">
        <v>5</v>
      </c>
      <c r="N94" s="27">
        <v>395</v>
      </c>
      <c r="O94" s="11" t="s">
        <v>38</v>
      </c>
      <c r="P94" s="13" t="s">
        <v>42</v>
      </c>
      <c r="Q94" s="13" t="s">
        <v>136</v>
      </c>
      <c r="R94" s="28"/>
    </row>
    <row r="95" spans="2:18" ht="30" customHeight="1" x14ac:dyDescent="0.25">
      <c r="B95" s="24">
        <f>IFERROR((ListaDeInventario[[#This Row],[Cantidad en existencias]]&lt;=ListaDeInventario[[#This Row],[Stock critico]])*(ListaDeInventario[[#This Row],[subdivision]]="")*valResaltado,0)</f>
        <v>0</v>
      </c>
      <c r="C95" s="8" t="s">
        <v>169</v>
      </c>
      <c r="D95" s="8" t="s">
        <v>187</v>
      </c>
      <c r="E95" s="22" t="s">
        <v>113</v>
      </c>
      <c r="F95" s="8"/>
      <c r="G95" s="22" t="s">
        <v>94</v>
      </c>
      <c r="H95" s="8" t="s">
        <v>97</v>
      </c>
      <c r="I95" s="8" t="s">
        <v>204</v>
      </c>
      <c r="J95" s="26">
        <v>22830</v>
      </c>
      <c r="K95" s="27">
        <v>8</v>
      </c>
      <c r="L95" s="26">
        <f>ListaDeInventario[[#This Row],[Precio por unidad]]*ListaDeInventario[[#This Row],[Cantidad en existencias]]</f>
        <v>182640</v>
      </c>
      <c r="M95" s="27">
        <v>5</v>
      </c>
      <c r="N95" s="27">
        <v>395</v>
      </c>
      <c r="O95" s="11" t="s">
        <v>38</v>
      </c>
      <c r="P95" s="13" t="s">
        <v>42</v>
      </c>
      <c r="Q95" s="13" t="s">
        <v>136</v>
      </c>
      <c r="R95" s="28"/>
    </row>
    <row r="96" spans="2:18" ht="30" customHeight="1" x14ac:dyDescent="0.25">
      <c r="B96" s="24">
        <f>IFERROR((ListaDeInventario[[#This Row],[Cantidad en existencias]]&lt;=ListaDeInventario[[#This Row],[Stock critico]])*(ListaDeInventario[[#This Row],[subdivision]]="")*valResaltado,0)</f>
        <v>0</v>
      </c>
      <c r="C96" s="8" t="s">
        <v>170</v>
      </c>
      <c r="D96" s="8" t="s">
        <v>187</v>
      </c>
      <c r="E96" s="22" t="s">
        <v>113</v>
      </c>
      <c r="F96" s="8"/>
      <c r="G96" s="22" t="s">
        <v>95</v>
      </c>
      <c r="H96" s="8" t="s">
        <v>97</v>
      </c>
      <c r="I96" s="8" t="s">
        <v>204</v>
      </c>
      <c r="J96" s="26">
        <v>22830</v>
      </c>
      <c r="K96" s="27">
        <v>8</v>
      </c>
      <c r="L96" s="26">
        <f>ListaDeInventario[[#This Row],[Precio por unidad]]*ListaDeInventario[[#This Row],[Cantidad en existencias]]</f>
        <v>182640</v>
      </c>
      <c r="M96" s="27">
        <v>5</v>
      </c>
      <c r="N96" s="27">
        <v>395</v>
      </c>
      <c r="O96" s="11" t="s">
        <v>38</v>
      </c>
      <c r="P96" s="13" t="s">
        <v>42</v>
      </c>
      <c r="Q96" s="13" t="s">
        <v>136</v>
      </c>
      <c r="R96" s="28"/>
    </row>
    <row r="97" spans="2:18" ht="30" customHeight="1" x14ac:dyDescent="0.25">
      <c r="B97" s="24">
        <f>IFERROR((ListaDeInventario[[#This Row],[Cantidad en existencias]]&lt;=ListaDeInventario[[#This Row],[Stock critico]])*(ListaDeInventario[[#This Row],[subdivision]]="")*valResaltado,0)</f>
        <v>0</v>
      </c>
      <c r="C97" s="8" t="s">
        <v>171</v>
      </c>
      <c r="D97" s="8" t="s">
        <v>187</v>
      </c>
      <c r="E97" s="22" t="s">
        <v>132</v>
      </c>
      <c r="F97" s="8"/>
      <c r="G97" s="22" t="s">
        <v>92</v>
      </c>
      <c r="H97" s="8" t="s">
        <v>97</v>
      </c>
      <c r="I97" s="8" t="s">
        <v>110</v>
      </c>
      <c r="J97" s="26">
        <v>6680</v>
      </c>
      <c r="K97" s="27">
        <v>12</v>
      </c>
      <c r="L97" s="26">
        <f>ListaDeInventario[[#This Row],[Precio por unidad]]*ListaDeInventario[[#This Row],[Cantidad en existencias]]</f>
        <v>80160</v>
      </c>
      <c r="M97" s="27">
        <v>5</v>
      </c>
      <c r="N97" s="27">
        <v>395</v>
      </c>
      <c r="O97" s="11" t="s">
        <v>38</v>
      </c>
      <c r="P97" s="13" t="s">
        <v>42</v>
      </c>
      <c r="Q97" s="13" t="s">
        <v>136</v>
      </c>
      <c r="R97" s="28"/>
    </row>
    <row r="98" spans="2:18" ht="30" customHeight="1" x14ac:dyDescent="0.25">
      <c r="B98" s="24">
        <f>IFERROR((ListaDeInventario[[#This Row],[Cantidad en existencias]]&lt;=ListaDeInventario[[#This Row],[Stock critico]])*(ListaDeInventario[[#This Row],[subdivision]]="")*valResaltado,0)</f>
        <v>0</v>
      </c>
      <c r="C98" s="8" t="s">
        <v>172</v>
      </c>
      <c r="D98" s="8" t="s">
        <v>187</v>
      </c>
      <c r="E98" s="22" t="s">
        <v>132</v>
      </c>
      <c r="F98" s="8"/>
      <c r="G98" s="22" t="s">
        <v>93</v>
      </c>
      <c r="H98" s="8" t="s">
        <v>97</v>
      </c>
      <c r="I98" s="8" t="s">
        <v>110</v>
      </c>
      <c r="J98" s="26">
        <v>6680</v>
      </c>
      <c r="K98" s="27">
        <v>14</v>
      </c>
      <c r="L98" s="26">
        <f>ListaDeInventario[[#This Row],[Precio por unidad]]*ListaDeInventario[[#This Row],[Cantidad en existencias]]</f>
        <v>93520</v>
      </c>
      <c r="M98" s="27">
        <v>5</v>
      </c>
      <c r="N98" s="27">
        <v>395</v>
      </c>
      <c r="O98" s="11" t="s">
        <v>38</v>
      </c>
      <c r="P98" s="13" t="s">
        <v>42</v>
      </c>
      <c r="Q98" s="13" t="s">
        <v>136</v>
      </c>
      <c r="R98" s="28"/>
    </row>
    <row r="99" spans="2:18" ht="30" customHeight="1" x14ac:dyDescent="0.25">
      <c r="B99" s="24">
        <f>IFERROR((ListaDeInventario[[#This Row],[Cantidad en existencias]]&lt;=ListaDeInventario[[#This Row],[Stock critico]])*(ListaDeInventario[[#This Row],[subdivision]]="")*valResaltado,0)</f>
        <v>0</v>
      </c>
      <c r="C99" s="8" t="s">
        <v>173</v>
      </c>
      <c r="D99" s="8" t="s">
        <v>187</v>
      </c>
      <c r="E99" s="22" t="s">
        <v>132</v>
      </c>
      <c r="F99" s="8"/>
      <c r="G99" s="22" t="s">
        <v>94</v>
      </c>
      <c r="H99" s="8" t="s">
        <v>97</v>
      </c>
      <c r="I99" s="8" t="s">
        <v>110</v>
      </c>
      <c r="J99" s="26">
        <v>6680</v>
      </c>
      <c r="K99" s="27">
        <v>51</v>
      </c>
      <c r="L99" s="26">
        <f>ListaDeInventario[[#This Row],[Precio por unidad]]*ListaDeInventario[[#This Row],[Cantidad en existencias]]</f>
        <v>340680</v>
      </c>
      <c r="M99" s="27">
        <v>5</v>
      </c>
      <c r="N99" s="27">
        <v>395</v>
      </c>
      <c r="O99" s="11" t="s">
        <v>38</v>
      </c>
      <c r="P99" s="13" t="s">
        <v>42</v>
      </c>
      <c r="Q99" s="13" t="s">
        <v>136</v>
      </c>
      <c r="R99" s="28"/>
    </row>
    <row r="100" spans="2:18" ht="30" customHeight="1" x14ac:dyDescent="0.25">
      <c r="B100" s="24">
        <f>IFERROR((ListaDeInventario[[#This Row],[Cantidad en existencias]]&lt;=ListaDeInventario[[#This Row],[Stock critico]])*(ListaDeInventario[[#This Row],[subdivision]]="")*valResaltado,0)</f>
        <v>0</v>
      </c>
      <c r="C100" s="8" t="s">
        <v>174</v>
      </c>
      <c r="D100" s="8" t="s">
        <v>187</v>
      </c>
      <c r="E100" s="22" t="s">
        <v>132</v>
      </c>
      <c r="F100" s="8"/>
      <c r="G100" s="22" t="s">
        <v>95</v>
      </c>
      <c r="H100" s="8" t="s">
        <v>97</v>
      </c>
      <c r="I100" s="8" t="s">
        <v>110</v>
      </c>
      <c r="J100" s="26">
        <v>6680</v>
      </c>
      <c r="K100" s="27">
        <v>31</v>
      </c>
      <c r="L100" s="26">
        <f>ListaDeInventario[[#This Row],[Precio por unidad]]*ListaDeInventario[[#This Row],[Cantidad en existencias]]</f>
        <v>207080</v>
      </c>
      <c r="M100" s="27">
        <v>5</v>
      </c>
      <c r="N100" s="27">
        <v>395</v>
      </c>
      <c r="O100" s="11" t="s">
        <v>38</v>
      </c>
      <c r="P100" s="13" t="s">
        <v>42</v>
      </c>
      <c r="Q100" s="13" t="s">
        <v>136</v>
      </c>
      <c r="R100" s="28"/>
    </row>
    <row r="101" spans="2:18" ht="30" customHeight="1" x14ac:dyDescent="0.25">
      <c r="B101" s="24">
        <f>IFERROR((ListaDeInventario[[#This Row],[Cantidad en existencias]]&lt;=ListaDeInventario[[#This Row],[Stock critico]])*(ListaDeInventario[[#This Row],[subdivision]]="")*valResaltado,0)</f>
        <v>0</v>
      </c>
      <c r="C101" s="8" t="s">
        <v>175</v>
      </c>
      <c r="D101" s="8" t="s">
        <v>187</v>
      </c>
      <c r="E101" s="22" t="s">
        <v>132</v>
      </c>
      <c r="F101" s="8"/>
      <c r="G101" s="22" t="s">
        <v>96</v>
      </c>
      <c r="H101" s="8" t="s">
        <v>97</v>
      </c>
      <c r="I101" s="8" t="s">
        <v>110</v>
      </c>
      <c r="J101" s="26">
        <v>6680</v>
      </c>
      <c r="K101" s="27">
        <v>7</v>
      </c>
      <c r="L101" s="26">
        <f>ListaDeInventario[[#This Row],[Precio por unidad]]*ListaDeInventario[[#This Row],[Cantidad en existencias]]</f>
        <v>46760</v>
      </c>
      <c r="M101" s="27">
        <v>5</v>
      </c>
      <c r="N101" s="27">
        <v>395</v>
      </c>
      <c r="O101" s="11" t="s">
        <v>38</v>
      </c>
      <c r="P101" s="13" t="s">
        <v>42</v>
      </c>
      <c r="Q101" s="13" t="s">
        <v>136</v>
      </c>
      <c r="R101" s="28"/>
    </row>
    <row r="102" spans="2:18" ht="30" customHeight="1" x14ac:dyDescent="0.25">
      <c r="B102" s="24">
        <f>IFERROR((ListaDeInventario[[#This Row],[Cantidad en existencias]]&lt;=ListaDeInventario[[#This Row],[Stock critico]])*(ListaDeInventario[[#This Row],[subdivision]]="")*valResaltado,0)</f>
        <v>0</v>
      </c>
      <c r="C102" s="8" t="s">
        <v>176</v>
      </c>
      <c r="D102" s="8" t="s">
        <v>211</v>
      </c>
      <c r="E102" s="22" t="s">
        <v>295</v>
      </c>
      <c r="F102" s="8" t="s">
        <v>212</v>
      </c>
      <c r="G102" s="25"/>
      <c r="H102" s="8" t="s">
        <v>97</v>
      </c>
      <c r="I102" s="8" t="s">
        <v>296</v>
      </c>
      <c r="J102" s="26">
        <v>0</v>
      </c>
      <c r="K102" s="27">
        <v>7</v>
      </c>
      <c r="L102" s="26">
        <f>ListaDeInventario[[#This Row],[Precio por unidad]]*ListaDeInventario[[#This Row],[Cantidad en existencias]]</f>
        <v>0</v>
      </c>
      <c r="M102" s="27">
        <v>2</v>
      </c>
      <c r="N102" s="27">
        <v>395</v>
      </c>
      <c r="O102" s="11" t="s">
        <v>575</v>
      </c>
      <c r="P102" s="13"/>
      <c r="Q102" s="13" t="s">
        <v>576</v>
      </c>
      <c r="R102" s="28"/>
    </row>
    <row r="103" spans="2:18" ht="30" customHeight="1" x14ac:dyDescent="0.25">
      <c r="B103" s="24">
        <f>IFERROR((ListaDeInventario[[#This Row],[Cantidad en existencias]]&lt;=ListaDeInventario[[#This Row],[Stock critico]])*(ListaDeInventario[[#This Row],[subdivision]]="")*valResaltado,0)</f>
        <v>0</v>
      </c>
      <c r="C103" s="8" t="s">
        <v>177</v>
      </c>
      <c r="D103" s="8" t="s">
        <v>211</v>
      </c>
      <c r="E103" s="22" t="s">
        <v>297</v>
      </c>
      <c r="F103" s="8" t="s">
        <v>213</v>
      </c>
      <c r="G103" s="25"/>
      <c r="H103" s="8" t="s">
        <v>97</v>
      </c>
      <c r="I103" s="8" t="s">
        <v>296</v>
      </c>
      <c r="J103" s="26">
        <v>0</v>
      </c>
      <c r="K103" s="27">
        <v>8</v>
      </c>
      <c r="L103" s="26">
        <f>ListaDeInventario[[#This Row],[Precio por unidad]]*ListaDeInventario[[#This Row],[Cantidad en existencias]]</f>
        <v>0</v>
      </c>
      <c r="M103" s="27">
        <v>1</v>
      </c>
      <c r="N103" s="27"/>
      <c r="O103" s="11" t="s">
        <v>575</v>
      </c>
      <c r="P103" s="13"/>
      <c r="Q103" s="13" t="s">
        <v>577</v>
      </c>
      <c r="R103" s="28"/>
    </row>
    <row r="104" spans="2:18" ht="30" customHeight="1" x14ac:dyDescent="0.25">
      <c r="B104" s="24">
        <f>IFERROR((ListaDeInventario[[#This Row],[Cantidad en existencias]]&lt;=ListaDeInventario[[#This Row],[Stock critico]])*(ListaDeInventario[[#This Row],[subdivision]]="")*valResaltado,0)</f>
        <v>0</v>
      </c>
      <c r="C104" s="8" t="s">
        <v>178</v>
      </c>
      <c r="D104" s="8" t="s">
        <v>211</v>
      </c>
      <c r="E104" s="22" t="s">
        <v>297</v>
      </c>
      <c r="F104" s="8" t="s">
        <v>214</v>
      </c>
      <c r="G104" s="25"/>
      <c r="H104" s="8" t="s">
        <v>97</v>
      </c>
      <c r="I104" s="8" t="s">
        <v>296</v>
      </c>
      <c r="J104" s="26">
        <v>0</v>
      </c>
      <c r="K104" s="27">
        <v>15</v>
      </c>
      <c r="L104" s="26">
        <f>ListaDeInventario[[#This Row],[Precio por unidad]]*ListaDeInventario[[#This Row],[Cantidad en existencias]]</f>
        <v>0</v>
      </c>
      <c r="M104" s="27">
        <v>3</v>
      </c>
      <c r="N104" s="27"/>
      <c r="O104" s="11" t="s">
        <v>575</v>
      </c>
      <c r="P104" s="13"/>
      <c r="Q104" s="13"/>
      <c r="R104" s="28"/>
    </row>
    <row r="105" spans="2:18" ht="30" customHeight="1" x14ac:dyDescent="0.25">
      <c r="B105" s="24">
        <f>IFERROR((ListaDeInventario[[#This Row],[Cantidad en existencias]]&lt;=ListaDeInventario[[#This Row],[Stock critico]])*(ListaDeInventario[[#This Row],[subdivision]]="")*valResaltado,0)</f>
        <v>0</v>
      </c>
      <c r="C105" s="8" t="s">
        <v>179</v>
      </c>
      <c r="D105" s="8" t="s">
        <v>211</v>
      </c>
      <c r="E105" s="22" t="s">
        <v>295</v>
      </c>
      <c r="F105" s="8" t="s">
        <v>215</v>
      </c>
      <c r="G105" s="25"/>
      <c r="H105" s="8" t="s">
        <v>97</v>
      </c>
      <c r="I105" s="8" t="s">
        <v>296</v>
      </c>
      <c r="J105" s="26">
        <v>0</v>
      </c>
      <c r="K105" s="27">
        <v>3</v>
      </c>
      <c r="L105" s="26">
        <f>ListaDeInventario[[#This Row],[Precio por unidad]]*ListaDeInventario[[#This Row],[Cantidad en existencias]]</f>
        <v>0</v>
      </c>
      <c r="M105" s="11" t="s">
        <v>449</v>
      </c>
      <c r="N105" s="27"/>
      <c r="O105" s="11" t="s">
        <v>575</v>
      </c>
      <c r="P105" s="13"/>
      <c r="Q105" s="13"/>
      <c r="R105" s="28"/>
    </row>
    <row r="106" spans="2:18" ht="30" customHeight="1" x14ac:dyDescent="0.25">
      <c r="B106" s="24">
        <f>IFERROR((ListaDeInventario[[#This Row],[Cantidad en existencias]]&lt;=ListaDeInventario[[#This Row],[Stock critico]])*(ListaDeInventario[[#This Row],[subdivision]]="")*valResaltado,0)</f>
        <v>0</v>
      </c>
      <c r="C106" s="8" t="s">
        <v>180</v>
      </c>
      <c r="D106" s="8" t="s">
        <v>211</v>
      </c>
      <c r="E106" s="22" t="s">
        <v>295</v>
      </c>
      <c r="F106" s="8" t="s">
        <v>216</v>
      </c>
      <c r="G106" s="25"/>
      <c r="H106" s="8" t="s">
        <v>97</v>
      </c>
      <c r="I106" s="8" t="s">
        <v>296</v>
      </c>
      <c r="J106" s="26">
        <v>0</v>
      </c>
      <c r="K106" s="27">
        <v>1</v>
      </c>
      <c r="L106" s="26">
        <f>ListaDeInventario[[#This Row],[Precio por unidad]]*ListaDeInventario[[#This Row],[Cantidad en existencias]]</f>
        <v>0</v>
      </c>
      <c r="M106" s="27">
        <v>2</v>
      </c>
      <c r="N106" s="27"/>
      <c r="O106" s="11" t="s">
        <v>575</v>
      </c>
      <c r="P106" s="13"/>
      <c r="Q106" s="13"/>
      <c r="R106" s="28"/>
    </row>
    <row r="107" spans="2:18" ht="30" customHeight="1" x14ac:dyDescent="0.25">
      <c r="B107" s="24">
        <f>IFERROR((ListaDeInventario[[#This Row],[Cantidad en existencias]]&lt;=ListaDeInventario[[#This Row],[Stock critico]])*(ListaDeInventario[[#This Row],[subdivision]]="")*valResaltado,0)</f>
        <v>0</v>
      </c>
      <c r="C107" s="8" t="s">
        <v>181</v>
      </c>
      <c r="D107" s="8" t="s">
        <v>211</v>
      </c>
      <c r="E107" s="22" t="s">
        <v>298</v>
      </c>
      <c r="F107" s="8" t="s">
        <v>217</v>
      </c>
      <c r="G107" s="25"/>
      <c r="H107" s="8" t="s">
        <v>97</v>
      </c>
      <c r="I107" s="8" t="s">
        <v>296</v>
      </c>
      <c r="J107" s="26">
        <v>0</v>
      </c>
      <c r="K107" s="27">
        <v>1</v>
      </c>
      <c r="L107" s="26">
        <f>ListaDeInventario[[#This Row],[Precio por unidad]]*ListaDeInventario[[#This Row],[Cantidad en existencias]]</f>
        <v>0</v>
      </c>
      <c r="M107" s="11" t="s">
        <v>449</v>
      </c>
      <c r="N107" s="27"/>
      <c r="O107" s="11" t="s">
        <v>575</v>
      </c>
      <c r="P107" s="13"/>
      <c r="Q107" s="13"/>
      <c r="R107" s="28"/>
    </row>
    <row r="108" spans="2:18" ht="30" customHeight="1" x14ac:dyDescent="0.25">
      <c r="B108" s="24">
        <f>IFERROR((ListaDeInventario[[#This Row],[Cantidad en existencias]]&lt;=ListaDeInventario[[#This Row],[Stock critico]])*(ListaDeInventario[[#This Row],[subdivision]]="")*valResaltado,0)</f>
        <v>0</v>
      </c>
      <c r="C108" s="8" t="s">
        <v>182</v>
      </c>
      <c r="D108" s="8" t="s">
        <v>211</v>
      </c>
      <c r="E108" s="22" t="s">
        <v>298</v>
      </c>
      <c r="F108" s="8" t="s">
        <v>218</v>
      </c>
      <c r="G108" s="25"/>
      <c r="H108" s="8" t="s">
        <v>97</v>
      </c>
      <c r="I108" s="8" t="s">
        <v>296</v>
      </c>
      <c r="J108" s="26">
        <v>0</v>
      </c>
      <c r="K108" s="27">
        <v>8</v>
      </c>
      <c r="L108" s="26">
        <f>ListaDeInventario[[#This Row],[Precio por unidad]]*ListaDeInventario[[#This Row],[Cantidad en existencias]]</f>
        <v>0</v>
      </c>
      <c r="M108" s="27">
        <v>1</v>
      </c>
      <c r="N108" s="27"/>
      <c r="O108" s="11" t="s">
        <v>575</v>
      </c>
      <c r="P108" s="13"/>
      <c r="Q108" s="13"/>
      <c r="R108" s="28"/>
    </row>
    <row r="109" spans="2:18" ht="30" customHeight="1" x14ac:dyDescent="0.25">
      <c r="B109" s="24">
        <f>IFERROR((ListaDeInventario[[#This Row],[Cantidad en existencias]]&lt;=ListaDeInventario[[#This Row],[Stock critico]])*(ListaDeInventario[[#This Row],[subdivision]]="")*valResaltado,0)</f>
        <v>0</v>
      </c>
      <c r="C109" s="8" t="s">
        <v>183</v>
      </c>
      <c r="D109" s="8" t="s">
        <v>211</v>
      </c>
      <c r="E109" s="22" t="s">
        <v>298</v>
      </c>
      <c r="F109" s="8" t="s">
        <v>219</v>
      </c>
      <c r="G109" s="25"/>
      <c r="H109" s="8" t="s">
        <v>97</v>
      </c>
      <c r="I109" s="8" t="s">
        <v>296</v>
      </c>
      <c r="J109" s="26">
        <v>0</v>
      </c>
      <c r="K109" s="27">
        <v>0</v>
      </c>
      <c r="L109" s="26">
        <f>ListaDeInventario[[#This Row],[Precio por unidad]]*ListaDeInventario[[#This Row],[Cantidad en existencias]]</f>
        <v>0</v>
      </c>
      <c r="M109" s="27">
        <v>1</v>
      </c>
      <c r="N109" s="27"/>
      <c r="O109" s="11" t="s">
        <v>575</v>
      </c>
      <c r="P109" s="13"/>
      <c r="Q109" s="13"/>
      <c r="R109" s="28"/>
    </row>
    <row r="110" spans="2:18" ht="30" customHeight="1" x14ac:dyDescent="0.25">
      <c r="B110" s="24">
        <f>IFERROR((ListaDeInventario[[#This Row],[Cantidad en existencias]]&lt;=ListaDeInventario[[#This Row],[Stock critico]])*(ListaDeInventario[[#This Row],[subdivision]]="")*valResaltado,0)</f>
        <v>0</v>
      </c>
      <c r="C110" s="8" t="s">
        <v>184</v>
      </c>
      <c r="D110" s="8" t="s">
        <v>211</v>
      </c>
      <c r="E110" s="22" t="s">
        <v>295</v>
      </c>
      <c r="F110" s="8" t="s">
        <v>220</v>
      </c>
      <c r="G110" s="25"/>
      <c r="H110" s="8" t="s">
        <v>97</v>
      </c>
      <c r="I110" s="8" t="s">
        <v>296</v>
      </c>
      <c r="J110" s="26">
        <v>0</v>
      </c>
      <c r="K110" s="27">
        <v>1</v>
      </c>
      <c r="L110" s="26">
        <f>ListaDeInventario[[#This Row],[Precio por unidad]]*ListaDeInventario[[#This Row],[Cantidad en existencias]]</f>
        <v>0</v>
      </c>
      <c r="M110" s="27">
        <v>1</v>
      </c>
      <c r="N110" s="27"/>
      <c r="O110" s="11" t="s">
        <v>575</v>
      </c>
      <c r="P110" s="13"/>
      <c r="Q110" s="13"/>
      <c r="R110" s="28"/>
    </row>
    <row r="111" spans="2:18" ht="30" customHeight="1" x14ac:dyDescent="0.25">
      <c r="B111" s="24">
        <f>IFERROR((ListaDeInventario[[#This Row],[Cantidad en existencias]]&lt;=ListaDeInventario[[#This Row],[Stock critico]])*(ListaDeInventario[[#This Row],[subdivision]]="")*valResaltado,0)</f>
        <v>0</v>
      </c>
      <c r="C111" s="8" t="s">
        <v>185</v>
      </c>
      <c r="D111" s="8" t="s">
        <v>211</v>
      </c>
      <c r="E111" s="22" t="s">
        <v>299</v>
      </c>
      <c r="F111" s="8" t="s">
        <v>221</v>
      </c>
      <c r="G111" s="25"/>
      <c r="H111" s="8" t="s">
        <v>97</v>
      </c>
      <c r="I111" s="8" t="s">
        <v>296</v>
      </c>
      <c r="J111" s="26">
        <v>0</v>
      </c>
      <c r="K111" s="27">
        <v>1</v>
      </c>
      <c r="L111" s="26">
        <f>ListaDeInventario[[#This Row],[Precio por unidad]]*ListaDeInventario[[#This Row],[Cantidad en existencias]]</f>
        <v>0</v>
      </c>
      <c r="M111" s="27">
        <v>1</v>
      </c>
      <c r="N111" s="27"/>
      <c r="O111" s="11" t="s">
        <v>575</v>
      </c>
      <c r="P111" s="13"/>
      <c r="Q111" s="13"/>
      <c r="R111" s="28"/>
    </row>
    <row r="112" spans="2:18" ht="30" customHeight="1" x14ac:dyDescent="0.25">
      <c r="B112" s="24">
        <f>IFERROR((ListaDeInventario[[#This Row],[Cantidad en existencias]]&lt;=ListaDeInventario[[#This Row],[Stock critico]])*(ListaDeInventario[[#This Row],[subdivision]]="")*valResaltado,0)</f>
        <v>0</v>
      </c>
      <c r="C112" s="8" t="s">
        <v>266</v>
      </c>
      <c r="D112" s="8" t="s">
        <v>211</v>
      </c>
      <c r="E112" s="22" t="s">
        <v>300</v>
      </c>
      <c r="F112" s="8" t="s">
        <v>222</v>
      </c>
      <c r="G112" s="25"/>
      <c r="H112" s="8" t="s">
        <v>97</v>
      </c>
      <c r="I112" s="8" t="s">
        <v>296</v>
      </c>
      <c r="J112" s="26">
        <v>0</v>
      </c>
      <c r="K112" s="27">
        <v>0</v>
      </c>
      <c r="L112" s="26">
        <f>ListaDeInventario[[#This Row],[Precio por unidad]]*ListaDeInventario[[#This Row],[Cantidad en existencias]]</f>
        <v>0</v>
      </c>
      <c r="M112" s="27">
        <v>1</v>
      </c>
      <c r="N112" s="27"/>
      <c r="O112" s="11" t="s">
        <v>575</v>
      </c>
      <c r="P112" s="13"/>
      <c r="Q112" s="13"/>
      <c r="R112" s="28"/>
    </row>
    <row r="113" spans="2:18" ht="30" customHeight="1" x14ac:dyDescent="0.25">
      <c r="B113" s="24">
        <f>IFERROR((ListaDeInventario[[#This Row],[Cantidad en existencias]]&lt;=ListaDeInventario[[#This Row],[Stock critico]])*(ListaDeInventario[[#This Row],[subdivision]]="")*valResaltado,0)</f>
        <v>0</v>
      </c>
      <c r="C113" s="8" t="s">
        <v>267</v>
      </c>
      <c r="D113" s="8" t="s">
        <v>211</v>
      </c>
      <c r="E113" s="22" t="s">
        <v>298</v>
      </c>
      <c r="F113" s="8" t="s">
        <v>223</v>
      </c>
      <c r="G113" s="25"/>
      <c r="H113" s="8" t="s">
        <v>97</v>
      </c>
      <c r="I113" s="8" t="s">
        <v>296</v>
      </c>
      <c r="J113" s="26">
        <v>0</v>
      </c>
      <c r="K113" s="27">
        <v>1</v>
      </c>
      <c r="L113" s="26">
        <f>ListaDeInventario[[#This Row],[Precio por unidad]]*ListaDeInventario[[#This Row],[Cantidad en existencias]]</f>
        <v>0</v>
      </c>
      <c r="M113" s="27">
        <v>1</v>
      </c>
      <c r="N113" s="27"/>
      <c r="O113" s="11" t="s">
        <v>575</v>
      </c>
      <c r="P113" s="13"/>
      <c r="Q113" s="13"/>
      <c r="R113" s="28"/>
    </row>
    <row r="114" spans="2:18" ht="30" customHeight="1" x14ac:dyDescent="0.25">
      <c r="B114" s="24">
        <f>IFERROR((ListaDeInventario[[#This Row],[Cantidad en existencias]]&lt;=ListaDeInventario[[#This Row],[Stock critico]])*(ListaDeInventario[[#This Row],[subdivision]]="")*valResaltado,0)</f>
        <v>0</v>
      </c>
      <c r="C114" s="8" t="s">
        <v>268</v>
      </c>
      <c r="D114" s="8" t="s">
        <v>211</v>
      </c>
      <c r="E114" s="22" t="s">
        <v>301</v>
      </c>
      <c r="F114" s="8" t="s">
        <v>224</v>
      </c>
      <c r="G114" s="25"/>
      <c r="H114" s="8" t="s">
        <v>97</v>
      </c>
      <c r="I114" s="8" t="s">
        <v>296</v>
      </c>
      <c r="J114" s="26">
        <v>0</v>
      </c>
      <c r="K114" s="27">
        <v>6</v>
      </c>
      <c r="L114" s="26">
        <f>ListaDeInventario[[#This Row],[Precio por unidad]]*ListaDeInventario[[#This Row],[Cantidad en existencias]]</f>
        <v>0</v>
      </c>
      <c r="M114" s="27">
        <v>1</v>
      </c>
      <c r="N114" s="27"/>
      <c r="O114" s="11" t="s">
        <v>575</v>
      </c>
      <c r="P114" s="13"/>
      <c r="Q114" s="13"/>
      <c r="R114" s="28"/>
    </row>
    <row r="115" spans="2:18" ht="30" customHeight="1" x14ac:dyDescent="0.25">
      <c r="B115" s="24">
        <f>IFERROR((ListaDeInventario[[#This Row],[Cantidad en existencias]]&lt;=ListaDeInventario[[#This Row],[Stock critico]])*(ListaDeInventario[[#This Row],[subdivision]]="")*valResaltado,0)</f>
        <v>0</v>
      </c>
      <c r="C115" s="8" t="s">
        <v>269</v>
      </c>
      <c r="D115" s="8" t="s">
        <v>211</v>
      </c>
      <c r="E115" s="22" t="s">
        <v>300</v>
      </c>
      <c r="F115" s="8" t="s">
        <v>225</v>
      </c>
      <c r="G115" s="25"/>
      <c r="H115" s="8" t="s">
        <v>97</v>
      </c>
      <c r="I115" s="8" t="s">
        <v>296</v>
      </c>
      <c r="J115" s="26">
        <v>0</v>
      </c>
      <c r="K115" s="27">
        <v>1</v>
      </c>
      <c r="L115" s="26">
        <f>ListaDeInventario[[#This Row],[Precio por unidad]]*ListaDeInventario[[#This Row],[Cantidad en existencias]]</f>
        <v>0</v>
      </c>
      <c r="M115" s="27">
        <v>1</v>
      </c>
      <c r="N115" s="27"/>
      <c r="O115" s="11" t="s">
        <v>575</v>
      </c>
      <c r="P115" s="13"/>
      <c r="Q115" s="13"/>
      <c r="R115" s="28"/>
    </row>
    <row r="116" spans="2:18" ht="30" customHeight="1" x14ac:dyDescent="0.25">
      <c r="B116" s="24">
        <f>IFERROR((ListaDeInventario[[#This Row],[Cantidad en existencias]]&lt;=ListaDeInventario[[#This Row],[Stock critico]])*(ListaDeInventario[[#This Row],[subdivision]]="")*valResaltado,0)</f>
        <v>0</v>
      </c>
      <c r="C116" s="8" t="s">
        <v>270</v>
      </c>
      <c r="D116" s="8" t="s">
        <v>211</v>
      </c>
      <c r="E116" s="22" t="s">
        <v>302</v>
      </c>
      <c r="F116" s="8" t="s">
        <v>226</v>
      </c>
      <c r="G116" s="25"/>
      <c r="H116" s="8" t="s">
        <v>97</v>
      </c>
      <c r="I116" s="8" t="s">
        <v>296</v>
      </c>
      <c r="J116" s="26">
        <v>0</v>
      </c>
      <c r="K116" s="27">
        <v>2</v>
      </c>
      <c r="L116" s="26"/>
      <c r="M116" s="27">
        <v>3</v>
      </c>
      <c r="N116" s="27"/>
      <c r="O116" s="11" t="s">
        <v>575</v>
      </c>
      <c r="P116" s="13"/>
      <c r="Q116" s="13"/>
      <c r="R116" s="28"/>
    </row>
    <row r="117" spans="2:18" ht="30" customHeight="1" x14ac:dyDescent="0.25">
      <c r="B117" s="24">
        <f>IFERROR((ListaDeInventario[[#This Row],[Cantidad en existencias]]&lt;=ListaDeInventario[[#This Row],[Stock critico]])*(ListaDeInventario[[#This Row],[subdivision]]="")*valResaltado,0)</f>
        <v>0</v>
      </c>
      <c r="C117" s="8" t="s">
        <v>271</v>
      </c>
      <c r="D117" s="8" t="s">
        <v>211</v>
      </c>
      <c r="E117" s="22" t="s">
        <v>301</v>
      </c>
      <c r="F117" s="8" t="s">
        <v>227</v>
      </c>
      <c r="G117" s="25"/>
      <c r="H117" s="8" t="s">
        <v>97</v>
      </c>
      <c r="I117" s="8" t="s">
        <v>296</v>
      </c>
      <c r="J117" s="26">
        <v>0</v>
      </c>
      <c r="K117" s="27">
        <v>1</v>
      </c>
      <c r="L117" s="26">
        <f>ListaDeInventario[[#This Row],[Precio por unidad]]*ListaDeInventario[[#This Row],[Cantidad en existencias]]</f>
        <v>0</v>
      </c>
      <c r="M117" s="27">
        <v>1</v>
      </c>
      <c r="N117" s="27"/>
      <c r="O117" s="11" t="s">
        <v>575</v>
      </c>
      <c r="P117" s="13"/>
      <c r="Q117" s="13"/>
      <c r="R117" s="28"/>
    </row>
    <row r="118" spans="2:18" ht="30" customHeight="1" x14ac:dyDescent="0.25">
      <c r="B118" s="24">
        <f>IFERROR((ListaDeInventario[[#This Row],[Cantidad en existencias]]&lt;=ListaDeInventario[[#This Row],[Stock critico]])*(ListaDeInventario[[#This Row],[subdivision]]="")*valResaltado,0)</f>
        <v>0</v>
      </c>
      <c r="C118" s="8" t="s">
        <v>272</v>
      </c>
      <c r="D118" s="8" t="s">
        <v>211</v>
      </c>
      <c r="E118" s="22" t="s">
        <v>303</v>
      </c>
      <c r="F118" s="8" t="s">
        <v>228</v>
      </c>
      <c r="G118" s="25"/>
      <c r="H118" s="8" t="s">
        <v>97</v>
      </c>
      <c r="I118" s="8" t="s">
        <v>296</v>
      </c>
      <c r="J118" s="26">
        <v>0</v>
      </c>
      <c r="K118" s="27">
        <v>1</v>
      </c>
      <c r="L118" s="26">
        <f>ListaDeInventario[[#This Row],[Precio por unidad]]*ListaDeInventario[[#This Row],[Cantidad en existencias]]</f>
        <v>0</v>
      </c>
      <c r="M118" s="11" t="s">
        <v>449</v>
      </c>
      <c r="N118" s="27"/>
      <c r="O118" s="11" t="s">
        <v>575</v>
      </c>
      <c r="P118" s="13"/>
      <c r="Q118" s="13"/>
      <c r="R118" s="28"/>
    </row>
    <row r="119" spans="2:18" ht="30" customHeight="1" x14ac:dyDescent="0.25">
      <c r="B119" s="24">
        <f>IFERROR((ListaDeInventario[[#This Row],[Cantidad en existencias]]&lt;=ListaDeInventario[[#This Row],[Stock critico]])*(ListaDeInventario[[#This Row],[subdivision]]="")*valResaltado,0)</f>
        <v>0</v>
      </c>
      <c r="C119" s="8" t="s">
        <v>273</v>
      </c>
      <c r="D119" s="8" t="s">
        <v>211</v>
      </c>
      <c r="E119" s="22" t="s">
        <v>301</v>
      </c>
      <c r="F119" s="8" t="s">
        <v>229</v>
      </c>
      <c r="G119" s="25"/>
      <c r="H119" s="8" t="s">
        <v>97</v>
      </c>
      <c r="I119" s="8" t="s">
        <v>296</v>
      </c>
      <c r="J119" s="26">
        <v>0</v>
      </c>
      <c r="K119" s="27">
        <v>1</v>
      </c>
      <c r="L119" s="26">
        <f>ListaDeInventario[[#This Row],[Precio por unidad]]*ListaDeInventario[[#This Row],[Cantidad en existencias]]</f>
        <v>0</v>
      </c>
      <c r="M119" s="27">
        <v>1</v>
      </c>
      <c r="N119" s="27"/>
      <c r="O119" s="11" t="s">
        <v>575</v>
      </c>
      <c r="P119" s="13"/>
      <c r="Q119" s="13"/>
      <c r="R119" s="28"/>
    </row>
    <row r="120" spans="2:18" ht="30" customHeight="1" x14ac:dyDescent="0.25">
      <c r="B120" s="24">
        <f>IFERROR((ListaDeInventario[[#This Row],[Cantidad en existencias]]&lt;=ListaDeInventario[[#This Row],[Stock critico]])*(ListaDeInventario[[#This Row],[subdivision]]="")*valResaltado,0)</f>
        <v>0</v>
      </c>
      <c r="C120" s="8" t="s">
        <v>274</v>
      </c>
      <c r="D120" s="8" t="s">
        <v>211</v>
      </c>
      <c r="E120" s="22" t="s">
        <v>301</v>
      </c>
      <c r="F120" s="8" t="s">
        <v>230</v>
      </c>
      <c r="G120" s="25"/>
      <c r="H120" s="8" t="s">
        <v>97</v>
      </c>
      <c r="I120" s="8" t="s">
        <v>296</v>
      </c>
      <c r="J120" s="26">
        <v>0</v>
      </c>
      <c r="K120" s="27">
        <v>0</v>
      </c>
      <c r="L120" s="26">
        <f>ListaDeInventario[[#This Row],[Precio por unidad]]*ListaDeInventario[[#This Row],[Cantidad en existencias]]</f>
        <v>0</v>
      </c>
      <c r="M120" s="11" t="s">
        <v>449</v>
      </c>
      <c r="N120" s="27"/>
      <c r="O120" s="11" t="s">
        <v>575</v>
      </c>
      <c r="P120" s="13"/>
      <c r="Q120" s="13"/>
      <c r="R120" s="28"/>
    </row>
    <row r="121" spans="2:18" ht="30" customHeight="1" x14ac:dyDescent="0.25">
      <c r="B121" s="24">
        <f>IFERROR((ListaDeInventario[[#This Row],[Cantidad en existencias]]&lt;=ListaDeInventario[[#This Row],[Stock critico]])*(ListaDeInventario[[#This Row],[subdivision]]="")*valResaltado,0)</f>
        <v>0</v>
      </c>
      <c r="C121" s="8" t="s">
        <v>275</v>
      </c>
      <c r="D121" s="8" t="s">
        <v>211</v>
      </c>
      <c r="E121" s="22" t="s">
        <v>301</v>
      </c>
      <c r="F121" s="8" t="s">
        <v>231</v>
      </c>
      <c r="G121" s="25"/>
      <c r="H121" s="8" t="s">
        <v>97</v>
      </c>
      <c r="I121" s="8" t="s">
        <v>296</v>
      </c>
      <c r="J121" s="26">
        <v>0</v>
      </c>
      <c r="K121" s="27">
        <v>1</v>
      </c>
      <c r="L121" s="26">
        <f>ListaDeInventario[[#This Row],[Precio por unidad]]*ListaDeInventario[[#This Row],[Cantidad en existencias]]</f>
        <v>0</v>
      </c>
      <c r="M121" s="27">
        <v>1</v>
      </c>
      <c r="N121" s="27"/>
      <c r="O121" s="11" t="s">
        <v>575</v>
      </c>
      <c r="P121" s="13"/>
      <c r="Q121" s="13"/>
      <c r="R121" s="28"/>
    </row>
    <row r="122" spans="2:18" ht="30" customHeight="1" x14ac:dyDescent="0.25">
      <c r="B122" s="24">
        <f>IFERROR((ListaDeInventario[[#This Row],[Cantidad en existencias]]&lt;=ListaDeInventario[[#This Row],[Stock critico]])*(ListaDeInventario[[#This Row],[subdivision]]="")*valResaltado,0)</f>
        <v>0</v>
      </c>
      <c r="C122" s="8" t="s">
        <v>276</v>
      </c>
      <c r="D122" s="8" t="s">
        <v>211</v>
      </c>
      <c r="E122" s="22" t="s">
        <v>301</v>
      </c>
      <c r="F122" s="8" t="s">
        <v>232</v>
      </c>
      <c r="G122" s="25"/>
      <c r="H122" s="8" t="s">
        <v>97</v>
      </c>
      <c r="I122" s="8" t="s">
        <v>296</v>
      </c>
      <c r="J122" s="26">
        <v>0</v>
      </c>
      <c r="K122" s="27">
        <v>1</v>
      </c>
      <c r="L122" s="26">
        <f>ListaDeInventario[[#This Row],[Precio por unidad]]*ListaDeInventario[[#This Row],[Cantidad en existencias]]</f>
        <v>0</v>
      </c>
      <c r="M122" s="27">
        <v>1</v>
      </c>
      <c r="N122" s="27"/>
      <c r="O122" s="11" t="s">
        <v>575</v>
      </c>
      <c r="P122" s="13"/>
      <c r="Q122" s="13"/>
      <c r="R122" s="28"/>
    </row>
    <row r="123" spans="2:18" ht="30" customHeight="1" x14ac:dyDescent="0.25">
      <c r="B123" s="24">
        <f>IFERROR((ListaDeInventario[[#This Row],[Cantidad en existencias]]&lt;=ListaDeInventario[[#This Row],[Stock critico]])*(ListaDeInventario[[#This Row],[subdivision]]="")*valResaltado,0)</f>
        <v>0</v>
      </c>
      <c r="C123" s="8" t="s">
        <v>277</v>
      </c>
      <c r="D123" s="8" t="s">
        <v>211</v>
      </c>
      <c r="E123" s="22" t="s">
        <v>298</v>
      </c>
      <c r="F123" s="8" t="s">
        <v>485</v>
      </c>
      <c r="G123" s="25"/>
      <c r="H123" s="8" t="s">
        <v>97</v>
      </c>
      <c r="I123" s="8" t="s">
        <v>296</v>
      </c>
      <c r="J123" s="26"/>
      <c r="K123" s="27">
        <v>8</v>
      </c>
      <c r="L123" s="26">
        <f>ListaDeInventario[[#This Row],[Precio por unidad]]*ListaDeInventario[[#This Row],[Cantidad en existencias]]</f>
        <v>0</v>
      </c>
      <c r="M123" s="27">
        <v>4</v>
      </c>
      <c r="N123" s="27"/>
      <c r="O123" s="11" t="s">
        <v>575</v>
      </c>
      <c r="P123" s="13" t="s">
        <v>553</v>
      </c>
      <c r="Q123" s="13"/>
      <c r="R123" s="28"/>
    </row>
    <row r="124" spans="2:18" ht="30" customHeight="1" x14ac:dyDescent="0.25">
      <c r="B124" s="24">
        <f>IFERROR((ListaDeInventario[[#This Row],[Cantidad en existencias]]&lt;=ListaDeInventario[[#This Row],[Stock critico]])*(ListaDeInventario[[#This Row],[subdivision]]="")*valResaltado,0)</f>
        <v>0</v>
      </c>
      <c r="C124" s="8" t="s">
        <v>278</v>
      </c>
      <c r="D124" s="8" t="s">
        <v>211</v>
      </c>
      <c r="E124" s="22" t="s">
        <v>301</v>
      </c>
      <c r="F124" s="8" t="s">
        <v>233</v>
      </c>
      <c r="G124" s="25"/>
      <c r="H124" s="8" t="s">
        <v>97</v>
      </c>
      <c r="I124" s="8" t="s">
        <v>296</v>
      </c>
      <c r="J124" s="26">
        <v>0</v>
      </c>
      <c r="K124" s="27">
        <v>1</v>
      </c>
      <c r="L124" s="26">
        <f>ListaDeInventario[[#This Row],[Precio por unidad]]*ListaDeInventario[[#This Row],[Cantidad en existencias]]</f>
        <v>0</v>
      </c>
      <c r="M124" s="27">
        <v>1</v>
      </c>
      <c r="N124" s="27"/>
      <c r="O124" s="11" t="s">
        <v>575</v>
      </c>
      <c r="P124" s="13" t="s">
        <v>553</v>
      </c>
      <c r="Q124" s="13"/>
      <c r="R124" s="28"/>
    </row>
    <row r="125" spans="2:18" ht="30" customHeight="1" x14ac:dyDescent="0.25">
      <c r="B125" s="24">
        <f>IFERROR((ListaDeInventario[[#This Row],[Cantidad en existencias]]&lt;=ListaDeInventario[[#This Row],[Stock critico]])*(ListaDeInventario[[#This Row],[subdivision]]="")*valResaltado,0)</f>
        <v>0</v>
      </c>
      <c r="C125" s="8" t="s">
        <v>279</v>
      </c>
      <c r="D125" s="8" t="s">
        <v>211</v>
      </c>
      <c r="E125" s="22" t="s">
        <v>301</v>
      </c>
      <c r="F125" s="8" t="s">
        <v>234</v>
      </c>
      <c r="G125" s="25"/>
      <c r="H125" s="8" t="s">
        <v>97</v>
      </c>
      <c r="I125" s="8" t="s">
        <v>296</v>
      </c>
      <c r="J125" s="26">
        <v>0</v>
      </c>
      <c r="K125" s="27">
        <v>1</v>
      </c>
      <c r="L125" s="26">
        <f>ListaDeInventario[[#This Row],[Precio por unidad]]*ListaDeInventario[[#This Row],[Cantidad en existencias]]</f>
        <v>0</v>
      </c>
      <c r="M125" s="27">
        <v>1</v>
      </c>
      <c r="N125" s="27"/>
      <c r="O125" s="11" t="s">
        <v>575</v>
      </c>
      <c r="P125" s="13"/>
      <c r="Q125" s="13"/>
      <c r="R125" s="28"/>
    </row>
    <row r="126" spans="2:18" ht="30" customHeight="1" x14ac:dyDescent="0.25">
      <c r="B126" s="24">
        <f>IFERROR((ListaDeInventario[[#This Row],[Cantidad en existencias]]&lt;=ListaDeInventario[[#This Row],[Stock critico]])*(ListaDeInventario[[#This Row],[subdivision]]="")*valResaltado,0)</f>
        <v>0</v>
      </c>
      <c r="C126" s="8" t="s">
        <v>280</v>
      </c>
      <c r="D126" s="8" t="s">
        <v>211</v>
      </c>
      <c r="E126" s="22" t="s">
        <v>295</v>
      </c>
      <c r="F126" s="8" t="s">
        <v>235</v>
      </c>
      <c r="G126" s="25"/>
      <c r="H126" s="8" t="s">
        <v>97</v>
      </c>
      <c r="I126" s="8" t="s">
        <v>296</v>
      </c>
      <c r="J126" s="26">
        <v>0</v>
      </c>
      <c r="K126" s="27">
        <v>4</v>
      </c>
      <c r="L126" s="26">
        <f>ListaDeInventario[[#This Row],[Precio por unidad]]*ListaDeInventario[[#This Row],[Cantidad en existencias]]</f>
        <v>0</v>
      </c>
      <c r="M126" s="27">
        <v>1</v>
      </c>
      <c r="N126" s="27"/>
      <c r="O126" s="11" t="s">
        <v>575</v>
      </c>
      <c r="P126" s="13"/>
      <c r="Q126" s="13"/>
      <c r="R126" s="28"/>
    </row>
    <row r="127" spans="2:18" ht="30" customHeight="1" x14ac:dyDescent="0.25">
      <c r="B127" s="24">
        <f>IFERROR((ListaDeInventario[[#This Row],[Cantidad en existencias]]&lt;=ListaDeInventario[[#This Row],[Stock critico]])*(ListaDeInventario[[#This Row],[subdivision]]="")*valResaltado,0)</f>
        <v>0</v>
      </c>
      <c r="C127" s="8" t="s">
        <v>281</v>
      </c>
      <c r="D127" s="8" t="s">
        <v>211</v>
      </c>
      <c r="E127" s="22" t="s">
        <v>301</v>
      </c>
      <c r="F127" s="8" t="s">
        <v>236</v>
      </c>
      <c r="G127" s="25"/>
      <c r="H127" s="8" t="s">
        <v>97</v>
      </c>
      <c r="I127" s="8" t="s">
        <v>296</v>
      </c>
      <c r="J127" s="26">
        <v>0</v>
      </c>
      <c r="K127" s="27">
        <v>0</v>
      </c>
      <c r="L127" s="26">
        <f>ListaDeInventario[[#This Row],[Precio por unidad]]*ListaDeInventario[[#This Row],[Cantidad en existencias]]</f>
        <v>0</v>
      </c>
      <c r="M127" s="11" t="s">
        <v>449</v>
      </c>
      <c r="N127" s="27"/>
      <c r="O127" s="11" t="s">
        <v>575</v>
      </c>
      <c r="P127" s="13"/>
      <c r="Q127" s="13"/>
      <c r="R127" s="28"/>
    </row>
    <row r="128" spans="2:18" ht="30" customHeight="1" x14ac:dyDescent="0.25">
      <c r="B128" s="24">
        <f>IFERROR((ListaDeInventario[[#This Row],[Cantidad en existencias]]&lt;=ListaDeInventario[[#This Row],[Stock critico]])*(ListaDeInventario[[#This Row],[subdivision]]="")*valResaltado,0)</f>
        <v>0</v>
      </c>
      <c r="C128" s="8" t="s">
        <v>282</v>
      </c>
      <c r="D128" s="8" t="s">
        <v>211</v>
      </c>
      <c r="E128" s="22" t="s">
        <v>301</v>
      </c>
      <c r="F128" s="8" t="s">
        <v>237</v>
      </c>
      <c r="G128" s="25"/>
      <c r="H128" s="8" t="s">
        <v>97</v>
      </c>
      <c r="I128" s="8" t="s">
        <v>296</v>
      </c>
      <c r="J128" s="26">
        <v>0</v>
      </c>
      <c r="K128" s="27">
        <v>1</v>
      </c>
      <c r="L128" s="26">
        <f>ListaDeInventario[[#This Row],[Precio por unidad]]*ListaDeInventario[[#This Row],[Cantidad en existencias]]</f>
        <v>0</v>
      </c>
      <c r="M128" s="27">
        <v>1</v>
      </c>
      <c r="N128" s="27"/>
      <c r="O128" s="11" t="s">
        <v>575</v>
      </c>
      <c r="P128" s="13"/>
      <c r="Q128" s="13"/>
      <c r="R128" s="28"/>
    </row>
    <row r="129" spans="2:18" ht="30" customHeight="1" x14ac:dyDescent="0.25">
      <c r="B129" s="24">
        <f>IFERROR((ListaDeInventario[[#This Row],[Cantidad en existencias]]&lt;=ListaDeInventario[[#This Row],[Stock critico]])*(ListaDeInventario[[#This Row],[subdivision]]="")*valResaltado,0)</f>
        <v>0</v>
      </c>
      <c r="C129" s="8" t="s">
        <v>283</v>
      </c>
      <c r="D129" s="8" t="s">
        <v>211</v>
      </c>
      <c r="E129" s="22" t="s">
        <v>301</v>
      </c>
      <c r="F129" s="8" t="s">
        <v>238</v>
      </c>
      <c r="G129" s="25"/>
      <c r="H129" s="8" t="s">
        <v>97</v>
      </c>
      <c r="I129" s="8" t="s">
        <v>296</v>
      </c>
      <c r="J129" s="26">
        <v>0</v>
      </c>
      <c r="K129" s="27">
        <v>1</v>
      </c>
      <c r="L129" s="26">
        <f>ListaDeInventario[[#This Row],[Precio por unidad]]*ListaDeInventario[[#This Row],[Cantidad en existencias]]</f>
        <v>0</v>
      </c>
      <c r="M129" s="27">
        <v>1</v>
      </c>
      <c r="N129" s="27"/>
      <c r="O129" s="11" t="s">
        <v>575</v>
      </c>
      <c r="P129" s="13"/>
      <c r="Q129" s="13"/>
      <c r="R129" s="28"/>
    </row>
    <row r="130" spans="2:18" ht="30" customHeight="1" x14ac:dyDescent="0.25">
      <c r="B130" s="24">
        <f>IFERROR((ListaDeInventario[[#This Row],[Cantidad en existencias]]&lt;=ListaDeInventario[[#This Row],[Stock critico]])*(ListaDeInventario[[#This Row],[subdivision]]="")*valResaltado,0)</f>
        <v>0</v>
      </c>
      <c r="C130" s="8" t="s">
        <v>284</v>
      </c>
      <c r="D130" s="8" t="s">
        <v>211</v>
      </c>
      <c r="E130" s="22" t="s">
        <v>301</v>
      </c>
      <c r="F130" s="8" t="s">
        <v>239</v>
      </c>
      <c r="G130" s="22" t="s">
        <v>450</v>
      </c>
      <c r="H130" s="8" t="s">
        <v>97</v>
      </c>
      <c r="I130" s="8" t="s">
        <v>296</v>
      </c>
      <c r="J130" s="26">
        <v>211037</v>
      </c>
      <c r="K130" s="27">
        <v>4</v>
      </c>
      <c r="L130" s="26">
        <f>ListaDeInventario[[#This Row],[Precio por unidad]]*ListaDeInventario[[#This Row],[Cantidad en existencias]]</f>
        <v>844148</v>
      </c>
      <c r="M130" s="27">
        <v>1</v>
      </c>
      <c r="N130" s="27"/>
      <c r="O130" s="11" t="s">
        <v>575</v>
      </c>
      <c r="P130" s="13"/>
      <c r="Q130" s="13"/>
      <c r="R130" s="28"/>
    </row>
    <row r="131" spans="2:18" ht="30" customHeight="1" x14ac:dyDescent="0.25">
      <c r="B131" s="24">
        <f>IFERROR((ListaDeInventario[[#This Row],[Cantidad en existencias]]&lt;=ListaDeInventario[[#This Row],[Stock critico]])*(ListaDeInventario[[#This Row],[subdivision]]="")*valResaltado,0)</f>
        <v>0</v>
      </c>
      <c r="C131" s="8" t="s">
        <v>285</v>
      </c>
      <c r="D131" s="8" t="s">
        <v>211</v>
      </c>
      <c r="E131" s="22" t="s">
        <v>301</v>
      </c>
      <c r="F131" s="8" t="s">
        <v>240</v>
      </c>
      <c r="G131" s="25"/>
      <c r="H131" s="8" t="s">
        <v>97</v>
      </c>
      <c r="I131" s="8" t="s">
        <v>296</v>
      </c>
      <c r="J131" s="26">
        <v>211037</v>
      </c>
      <c r="K131" s="27">
        <v>1</v>
      </c>
      <c r="L131" s="26">
        <f>ListaDeInventario[[#This Row],[Precio por unidad]]*ListaDeInventario[[#This Row],[Cantidad en existencias]]</f>
        <v>211037</v>
      </c>
      <c r="M131" s="27">
        <v>1</v>
      </c>
      <c r="N131" s="27"/>
      <c r="O131" s="11" t="s">
        <v>575</v>
      </c>
      <c r="P131" s="13"/>
      <c r="Q131" s="13"/>
      <c r="R131" s="28"/>
    </row>
    <row r="132" spans="2:18" ht="30" customHeight="1" x14ac:dyDescent="0.25">
      <c r="B132" s="24">
        <f>IFERROR((ListaDeInventario[[#This Row],[Cantidad en existencias]]&lt;=ListaDeInventario[[#This Row],[Stock critico]])*(ListaDeInventario[[#This Row],[subdivision]]="")*valResaltado,0)</f>
        <v>0</v>
      </c>
      <c r="C132" s="8" t="s">
        <v>286</v>
      </c>
      <c r="D132" s="8" t="s">
        <v>211</v>
      </c>
      <c r="E132" s="22" t="s">
        <v>301</v>
      </c>
      <c r="F132" s="8" t="s">
        <v>241</v>
      </c>
      <c r="G132" s="25"/>
      <c r="H132" s="8" t="s">
        <v>97</v>
      </c>
      <c r="I132" s="8" t="s">
        <v>296</v>
      </c>
      <c r="J132" s="26">
        <v>190377</v>
      </c>
      <c r="K132" s="27">
        <v>3</v>
      </c>
      <c r="L132" s="26">
        <f>ListaDeInventario[[#This Row],[Precio por unidad]]*ListaDeInventario[[#This Row],[Cantidad en existencias]]</f>
        <v>571131</v>
      </c>
      <c r="M132" s="27">
        <v>1</v>
      </c>
      <c r="N132" s="27"/>
      <c r="O132" s="11" t="s">
        <v>575</v>
      </c>
      <c r="P132" s="13"/>
      <c r="Q132" s="13"/>
      <c r="R132" s="28"/>
    </row>
    <row r="133" spans="2:18" ht="30" customHeight="1" x14ac:dyDescent="0.25">
      <c r="B133" s="24">
        <f>IFERROR((ListaDeInventario[[#This Row],[Cantidad en existencias]]&lt;=ListaDeInventario[[#This Row],[Stock critico]])*(ListaDeInventario[[#This Row],[subdivision]]="")*valResaltado,0)</f>
        <v>0</v>
      </c>
      <c r="C133" s="8" t="s">
        <v>287</v>
      </c>
      <c r="D133" s="8" t="s">
        <v>211</v>
      </c>
      <c r="E133" s="22" t="s">
        <v>301</v>
      </c>
      <c r="F133" s="8" t="s">
        <v>242</v>
      </c>
      <c r="G133" s="25"/>
      <c r="H133" s="8" t="s">
        <v>97</v>
      </c>
      <c r="I133" s="8" t="s">
        <v>296</v>
      </c>
      <c r="J133" s="26"/>
      <c r="K133" s="27">
        <v>5</v>
      </c>
      <c r="L133" s="26">
        <f>ListaDeInventario[[#This Row],[Precio por unidad]]*ListaDeInventario[[#This Row],[Cantidad en existencias]]</f>
        <v>0</v>
      </c>
      <c r="M133" s="27">
        <v>2</v>
      </c>
      <c r="N133" s="27"/>
      <c r="O133" s="11" t="s">
        <v>575</v>
      </c>
      <c r="P133" s="13"/>
      <c r="Q133" s="13"/>
      <c r="R133" s="28"/>
    </row>
    <row r="134" spans="2:18" ht="30" customHeight="1" x14ac:dyDescent="0.25">
      <c r="B134" s="24">
        <f>IFERROR((ListaDeInventario[[#This Row],[Cantidad en existencias]]&lt;=ListaDeInventario[[#This Row],[Stock critico]])*(ListaDeInventario[[#This Row],[subdivision]]="")*valResaltado,0)</f>
        <v>0</v>
      </c>
      <c r="C134" s="8" t="s">
        <v>288</v>
      </c>
      <c r="D134" s="8" t="s">
        <v>211</v>
      </c>
      <c r="E134" s="22" t="s">
        <v>300</v>
      </c>
      <c r="F134" s="8" t="s">
        <v>243</v>
      </c>
      <c r="G134" s="25"/>
      <c r="H134" s="8" t="s">
        <v>97</v>
      </c>
      <c r="I134" s="8" t="s">
        <v>296</v>
      </c>
      <c r="J134" s="26"/>
      <c r="K134" s="27">
        <v>7</v>
      </c>
      <c r="L134" s="26">
        <f>ListaDeInventario[[#This Row],[Precio por unidad]]*ListaDeInventario[[#This Row],[Cantidad en existencias]]</f>
        <v>0</v>
      </c>
      <c r="M134" s="27">
        <v>2</v>
      </c>
      <c r="N134" s="27"/>
      <c r="O134" s="11" t="s">
        <v>575</v>
      </c>
      <c r="P134" s="13"/>
      <c r="Q134" s="13"/>
      <c r="R134" s="28"/>
    </row>
    <row r="135" spans="2:18" ht="30" customHeight="1" x14ac:dyDescent="0.25">
      <c r="B135" s="24">
        <f>IFERROR((ListaDeInventario[[#This Row],[Cantidad en existencias]]&lt;=ListaDeInventario[[#This Row],[Stock critico]])*(ListaDeInventario[[#This Row],[subdivision]]="")*valResaltado,0)</f>
        <v>0</v>
      </c>
      <c r="C135" s="8" t="s">
        <v>289</v>
      </c>
      <c r="D135" s="8" t="s">
        <v>211</v>
      </c>
      <c r="E135" s="22" t="s">
        <v>300</v>
      </c>
      <c r="F135" s="8" t="s">
        <v>244</v>
      </c>
      <c r="G135" s="25"/>
      <c r="H135" s="8" t="s">
        <v>97</v>
      </c>
      <c r="I135" s="8" t="s">
        <v>296</v>
      </c>
      <c r="J135" s="26"/>
      <c r="K135" s="27">
        <v>2</v>
      </c>
      <c r="L135" s="26">
        <f>ListaDeInventario[[#This Row],[Precio por unidad]]*ListaDeInventario[[#This Row],[Cantidad en existencias]]</f>
        <v>0</v>
      </c>
      <c r="M135" s="27">
        <v>1</v>
      </c>
      <c r="N135" s="27"/>
      <c r="O135" s="11" t="s">
        <v>575</v>
      </c>
      <c r="P135" s="13"/>
      <c r="Q135" s="13"/>
      <c r="R135" s="28"/>
    </row>
    <row r="136" spans="2:18" ht="30" customHeight="1" x14ac:dyDescent="0.25">
      <c r="B136" s="24">
        <f>IFERROR((ListaDeInventario[[#This Row],[Cantidad en existencias]]&lt;=ListaDeInventario[[#This Row],[Stock critico]])*(ListaDeInventario[[#This Row],[subdivision]]="")*valResaltado,0)</f>
        <v>0</v>
      </c>
      <c r="C136" s="8" t="s">
        <v>290</v>
      </c>
      <c r="D136" s="8" t="s">
        <v>211</v>
      </c>
      <c r="E136" s="22" t="s">
        <v>301</v>
      </c>
      <c r="F136" s="8" t="s">
        <v>245</v>
      </c>
      <c r="G136" s="25"/>
      <c r="H136" s="8" t="s">
        <v>97</v>
      </c>
      <c r="I136" s="8" t="s">
        <v>296</v>
      </c>
      <c r="J136" s="26"/>
      <c r="K136" s="27">
        <v>1</v>
      </c>
      <c r="L136" s="26">
        <f>ListaDeInventario[[#This Row],[Precio por unidad]]*ListaDeInventario[[#This Row],[Cantidad en existencias]]</f>
        <v>0</v>
      </c>
      <c r="M136" s="27">
        <v>1</v>
      </c>
      <c r="N136" s="27"/>
      <c r="O136" s="11" t="s">
        <v>575</v>
      </c>
      <c r="P136" s="13"/>
      <c r="Q136" s="13"/>
      <c r="R136" s="28"/>
    </row>
    <row r="137" spans="2:18" ht="30" customHeight="1" x14ac:dyDescent="0.25">
      <c r="B137" s="24">
        <f>IFERROR((ListaDeInventario[[#This Row],[Cantidad en existencias]]&lt;=ListaDeInventario[[#This Row],[Stock critico]])*(ListaDeInventario[[#This Row],[subdivision]]="")*valResaltado,0)</f>
        <v>0</v>
      </c>
      <c r="C137" s="8" t="s">
        <v>291</v>
      </c>
      <c r="D137" s="8" t="s">
        <v>211</v>
      </c>
      <c r="E137" s="22" t="s">
        <v>301</v>
      </c>
      <c r="F137" s="8" t="s">
        <v>246</v>
      </c>
      <c r="G137" s="25"/>
      <c r="H137" s="8" t="s">
        <v>97</v>
      </c>
      <c r="I137" s="8" t="s">
        <v>296</v>
      </c>
      <c r="J137" s="26"/>
      <c r="K137" s="27">
        <v>1</v>
      </c>
      <c r="L137" s="26">
        <f>ListaDeInventario[[#This Row],[Precio por unidad]]*ListaDeInventario[[#This Row],[Cantidad en existencias]]</f>
        <v>0</v>
      </c>
      <c r="M137" s="27">
        <v>2</v>
      </c>
      <c r="N137" s="27"/>
      <c r="O137" s="11" t="s">
        <v>575</v>
      </c>
      <c r="P137" s="13"/>
      <c r="Q137" s="13"/>
      <c r="R137" s="28"/>
    </row>
    <row r="138" spans="2:18" ht="30" customHeight="1" x14ac:dyDescent="0.25">
      <c r="B138" s="24">
        <f>IFERROR((ListaDeInventario[[#This Row],[Cantidad en existencias]]&lt;=ListaDeInventario[[#This Row],[Stock critico]])*(ListaDeInventario[[#This Row],[subdivision]]="")*valResaltado,0)</f>
        <v>0</v>
      </c>
      <c r="C138" s="8" t="s">
        <v>292</v>
      </c>
      <c r="D138" s="8" t="s">
        <v>211</v>
      </c>
      <c r="E138" s="22" t="s">
        <v>301</v>
      </c>
      <c r="F138" s="8" t="s">
        <v>247</v>
      </c>
      <c r="G138" s="25"/>
      <c r="H138" s="8" t="s">
        <v>97</v>
      </c>
      <c r="I138" s="8" t="s">
        <v>296</v>
      </c>
      <c r="J138" s="26">
        <v>64205</v>
      </c>
      <c r="K138" s="27">
        <v>3</v>
      </c>
      <c r="L138" s="26">
        <f>ListaDeInventario[[#This Row],[Precio por unidad]]*ListaDeInventario[[#This Row],[Cantidad en existencias]]</f>
        <v>192615</v>
      </c>
      <c r="M138" s="27">
        <v>1</v>
      </c>
      <c r="N138" s="27"/>
      <c r="O138" s="11" t="s">
        <v>575</v>
      </c>
      <c r="P138" s="13"/>
      <c r="Q138" s="13"/>
      <c r="R138" s="28"/>
    </row>
    <row r="139" spans="2:18" ht="30" customHeight="1" x14ac:dyDescent="0.25">
      <c r="B139" s="24">
        <f>IFERROR((ListaDeInventario[[#This Row],[Cantidad en existencias]]&lt;=ListaDeInventario[[#This Row],[Stock critico]])*(ListaDeInventario[[#This Row],[subdivision]]="")*valResaltado,0)</f>
        <v>0</v>
      </c>
      <c r="C139" s="8" t="s">
        <v>293</v>
      </c>
      <c r="D139" s="8" t="s">
        <v>211</v>
      </c>
      <c r="E139" s="22" t="s">
        <v>301</v>
      </c>
      <c r="F139" s="8" t="s">
        <v>248</v>
      </c>
      <c r="G139" s="25"/>
      <c r="H139" s="8" t="s">
        <v>97</v>
      </c>
      <c r="I139" s="8" t="s">
        <v>296</v>
      </c>
      <c r="J139" s="26"/>
      <c r="K139" s="27">
        <v>5</v>
      </c>
      <c r="L139" s="26">
        <f>ListaDeInventario[[#This Row],[Precio por unidad]]*ListaDeInventario[[#This Row],[Cantidad en existencias]]</f>
        <v>0</v>
      </c>
      <c r="M139" s="27">
        <v>1</v>
      </c>
      <c r="N139" s="27"/>
      <c r="O139" s="11" t="s">
        <v>575</v>
      </c>
      <c r="P139" s="13"/>
      <c r="Q139" s="13"/>
      <c r="R139" s="28"/>
    </row>
    <row r="140" spans="2:18" ht="30" customHeight="1" x14ac:dyDescent="0.25">
      <c r="B140" s="24">
        <f>IFERROR((ListaDeInventario[[#This Row],[Cantidad en existencias]]&lt;=ListaDeInventario[[#This Row],[Stock critico]])*(ListaDeInventario[[#This Row],[subdivision]]="")*valResaltado,0)</f>
        <v>0</v>
      </c>
      <c r="C140" s="8" t="s">
        <v>294</v>
      </c>
      <c r="D140" s="8" t="s">
        <v>211</v>
      </c>
      <c r="E140" s="22" t="s">
        <v>300</v>
      </c>
      <c r="F140" s="8" t="s">
        <v>249</v>
      </c>
      <c r="G140" s="25"/>
      <c r="H140" s="8" t="s">
        <v>97</v>
      </c>
      <c r="I140" s="8" t="s">
        <v>296</v>
      </c>
      <c r="J140" s="26"/>
      <c r="K140" s="27">
        <v>1</v>
      </c>
      <c r="L140" s="26">
        <f>ListaDeInventario[[#This Row],[Precio por unidad]]*ListaDeInventario[[#This Row],[Cantidad en existencias]]</f>
        <v>0</v>
      </c>
      <c r="M140" s="27">
        <v>1</v>
      </c>
      <c r="N140" s="27"/>
      <c r="O140" s="11" t="s">
        <v>575</v>
      </c>
      <c r="P140" s="13"/>
      <c r="Q140" s="13"/>
      <c r="R140" s="28"/>
    </row>
    <row r="141" spans="2:18" ht="30" customHeight="1" x14ac:dyDescent="0.25">
      <c r="B141" s="24">
        <f>IFERROR((ListaDeInventario[[#This Row],[Cantidad en existencias]]&lt;=ListaDeInventario[[#This Row],[Stock critico]])*(ListaDeInventario[[#This Row],[subdivision]]="")*valResaltado,0)</f>
        <v>0</v>
      </c>
      <c r="C141" s="8" t="s">
        <v>307</v>
      </c>
      <c r="D141" s="8" t="s">
        <v>211</v>
      </c>
      <c r="E141" s="22" t="s">
        <v>301</v>
      </c>
      <c r="F141" s="8" t="s">
        <v>250</v>
      </c>
      <c r="G141" s="25"/>
      <c r="H141" s="8" t="s">
        <v>97</v>
      </c>
      <c r="I141" s="8" t="s">
        <v>296</v>
      </c>
      <c r="J141" s="26"/>
      <c r="K141" s="27">
        <v>1</v>
      </c>
      <c r="L141" s="26">
        <f>ListaDeInventario[[#This Row],[Precio por unidad]]*ListaDeInventario[[#This Row],[Cantidad en existencias]]</f>
        <v>0</v>
      </c>
      <c r="M141" s="27">
        <v>1</v>
      </c>
      <c r="N141" s="27"/>
      <c r="O141" s="11" t="s">
        <v>575</v>
      </c>
      <c r="P141" s="13"/>
      <c r="Q141" s="13"/>
      <c r="R141" s="28"/>
    </row>
    <row r="142" spans="2:18" ht="30" customHeight="1" x14ac:dyDescent="0.25">
      <c r="B142" s="24">
        <f>IFERROR((ListaDeInventario[[#This Row],[Cantidad en existencias]]&lt;=ListaDeInventario[[#This Row],[Stock critico]])*(ListaDeInventario[[#This Row],[subdivision]]="")*valResaltado,0)</f>
        <v>0</v>
      </c>
      <c r="C142" s="8" t="s">
        <v>308</v>
      </c>
      <c r="D142" s="8"/>
      <c r="E142" s="22" t="s">
        <v>295</v>
      </c>
      <c r="F142" s="8" t="s">
        <v>251</v>
      </c>
      <c r="G142" s="25"/>
      <c r="H142" s="8" t="s">
        <v>97</v>
      </c>
      <c r="I142" s="8" t="s">
        <v>304</v>
      </c>
      <c r="J142" s="26"/>
      <c r="K142" s="27">
        <v>1</v>
      </c>
      <c r="L142" s="26">
        <f>ListaDeInventario[[#This Row],[Precio por unidad]]*ListaDeInventario[[#This Row],[Cantidad en existencias]]</f>
        <v>0</v>
      </c>
      <c r="M142" s="27"/>
      <c r="N142" s="27"/>
      <c r="O142" s="11" t="s">
        <v>575</v>
      </c>
      <c r="P142" s="13"/>
      <c r="Q142" s="13"/>
      <c r="R142" s="28"/>
    </row>
    <row r="143" spans="2:18" ht="30" customHeight="1" x14ac:dyDescent="0.25">
      <c r="B143" s="24">
        <f>IFERROR((ListaDeInventario[[#This Row],[Cantidad en existencias]]&lt;=ListaDeInventario[[#This Row],[Stock critico]])*(ListaDeInventario[[#This Row],[subdivision]]="")*valResaltado,0)</f>
        <v>0</v>
      </c>
      <c r="C143" s="8" t="s">
        <v>309</v>
      </c>
      <c r="D143" s="8"/>
      <c r="E143" s="22" t="s">
        <v>301</v>
      </c>
      <c r="F143" s="8" t="s">
        <v>252</v>
      </c>
      <c r="G143" s="25"/>
      <c r="H143" s="8" t="s">
        <v>97</v>
      </c>
      <c r="I143" s="8" t="s">
        <v>304</v>
      </c>
      <c r="J143" s="26"/>
      <c r="K143" s="27">
        <v>1</v>
      </c>
      <c r="L143" s="26">
        <f>ListaDeInventario[[#This Row],[Precio por unidad]]*ListaDeInventario[[#This Row],[Cantidad en existencias]]</f>
        <v>0</v>
      </c>
      <c r="M143" s="27"/>
      <c r="N143" s="27"/>
      <c r="O143" s="11" t="s">
        <v>575</v>
      </c>
      <c r="P143" s="13"/>
      <c r="Q143" s="13"/>
      <c r="R143" s="28"/>
    </row>
    <row r="144" spans="2:18" ht="30" customHeight="1" x14ac:dyDescent="0.25">
      <c r="B144" s="24">
        <f>IFERROR((ListaDeInventario[[#This Row],[Cantidad en existencias]]&lt;=ListaDeInventario[[#This Row],[Stock critico]])*(ListaDeInventario[[#This Row],[subdivision]]="")*valResaltado,0)</f>
        <v>0</v>
      </c>
      <c r="C144" s="8" t="s">
        <v>310</v>
      </c>
      <c r="D144" s="8"/>
      <c r="E144" s="22" t="s">
        <v>301</v>
      </c>
      <c r="F144" s="8" t="s">
        <v>253</v>
      </c>
      <c r="G144" s="25"/>
      <c r="H144" s="8" t="s">
        <v>97</v>
      </c>
      <c r="I144" s="8" t="s">
        <v>304</v>
      </c>
      <c r="J144" s="26"/>
      <c r="K144" s="27">
        <v>1</v>
      </c>
      <c r="L144" s="26">
        <f>ListaDeInventario[[#This Row],[Precio por unidad]]*ListaDeInventario[[#This Row],[Cantidad en existencias]]</f>
        <v>0</v>
      </c>
      <c r="M144" s="27"/>
      <c r="N144" s="27"/>
      <c r="O144" s="11" t="s">
        <v>575</v>
      </c>
      <c r="P144" s="13"/>
      <c r="Q144" s="13"/>
      <c r="R144" s="28"/>
    </row>
    <row r="145" spans="2:20" ht="30" customHeight="1" x14ac:dyDescent="0.25">
      <c r="B145" s="24">
        <f>IFERROR((ListaDeInventario[[#This Row],[Cantidad en existencias]]&lt;=ListaDeInventario[[#This Row],[Stock critico]])*(ListaDeInventario[[#This Row],[subdivision]]="")*valResaltado,0)</f>
        <v>0</v>
      </c>
      <c r="C145" s="8" t="s">
        <v>311</v>
      </c>
      <c r="D145" s="8"/>
      <c r="E145" s="22" t="s">
        <v>298</v>
      </c>
      <c r="F145" s="8" t="s">
        <v>254</v>
      </c>
      <c r="G145" s="25"/>
      <c r="H145" s="8" t="s">
        <v>97</v>
      </c>
      <c r="I145" s="8" t="s">
        <v>304</v>
      </c>
      <c r="J145" s="26"/>
      <c r="K145" s="27">
        <v>1</v>
      </c>
      <c r="L145" s="26">
        <f>ListaDeInventario[[#This Row],[Precio por unidad]]*ListaDeInventario[[#This Row],[Cantidad en existencias]]</f>
        <v>0</v>
      </c>
      <c r="M145" s="27"/>
      <c r="N145" s="27"/>
      <c r="O145" s="11" t="s">
        <v>575</v>
      </c>
      <c r="P145" s="13"/>
      <c r="Q145" s="13"/>
      <c r="R145" s="28"/>
      <c r="S145">
        <v>395</v>
      </c>
      <c r="T145" t="s">
        <v>552</v>
      </c>
    </row>
    <row r="146" spans="2:20" ht="30" customHeight="1" x14ac:dyDescent="0.25">
      <c r="B146" s="24">
        <f>IFERROR((ListaDeInventario[[#This Row],[Cantidad en existencias]]&lt;=ListaDeInventario[[#This Row],[Stock critico]])*(ListaDeInventario[[#This Row],[subdivision]]="")*valResaltado,0)</f>
        <v>0</v>
      </c>
      <c r="C146" s="8" t="s">
        <v>312</v>
      </c>
      <c r="D146" s="8"/>
      <c r="E146" s="22" t="s">
        <v>297</v>
      </c>
      <c r="F146" s="8" t="s">
        <v>255</v>
      </c>
      <c r="G146" s="25"/>
      <c r="H146" s="8" t="s">
        <v>97</v>
      </c>
      <c r="I146" s="8" t="s">
        <v>304</v>
      </c>
      <c r="J146" s="26"/>
      <c r="K146" s="27">
        <v>1</v>
      </c>
      <c r="L146" s="26">
        <f>ListaDeInventario[[#This Row],[Precio por unidad]]*ListaDeInventario[[#This Row],[Cantidad en existencias]]</f>
        <v>0</v>
      </c>
      <c r="M146" s="27"/>
      <c r="N146" s="27"/>
      <c r="O146" s="11" t="s">
        <v>575</v>
      </c>
      <c r="P146" s="13"/>
      <c r="Q146" s="13"/>
      <c r="R146" s="28"/>
    </row>
    <row r="147" spans="2:20" ht="30" customHeight="1" x14ac:dyDescent="0.25">
      <c r="B147" s="24">
        <f>IFERROR((ListaDeInventario[[#This Row],[Cantidad en existencias]]&lt;=ListaDeInventario[[#This Row],[Stock critico]])*(ListaDeInventario[[#This Row],[subdivision]]="")*valResaltado,0)</f>
        <v>0</v>
      </c>
      <c r="C147" s="8" t="s">
        <v>313</v>
      </c>
      <c r="D147" s="8"/>
      <c r="E147" s="22" t="s">
        <v>301</v>
      </c>
      <c r="F147" s="8" t="s">
        <v>256</v>
      </c>
      <c r="G147" s="25"/>
      <c r="H147" s="8" t="s">
        <v>97</v>
      </c>
      <c r="I147" s="8" t="s">
        <v>304</v>
      </c>
      <c r="J147" s="26"/>
      <c r="K147" s="27">
        <v>1</v>
      </c>
      <c r="L147" s="26">
        <f>ListaDeInventario[[#This Row],[Precio por unidad]]*ListaDeInventario[[#This Row],[Cantidad en existencias]]</f>
        <v>0</v>
      </c>
      <c r="M147" s="27"/>
      <c r="N147" s="27"/>
      <c r="O147" s="11" t="s">
        <v>575</v>
      </c>
      <c r="P147" s="13" t="s">
        <v>553</v>
      </c>
      <c r="Q147" s="13"/>
      <c r="R147" s="28"/>
    </row>
    <row r="148" spans="2:20" ht="30" customHeight="1" x14ac:dyDescent="0.25">
      <c r="B148" s="24">
        <f>IFERROR((ListaDeInventario[[#This Row],[Cantidad en existencias]]&lt;=ListaDeInventario[[#This Row],[Stock critico]])*(ListaDeInventario[[#This Row],[subdivision]]="")*valResaltado,0)</f>
        <v>0</v>
      </c>
      <c r="C148" s="8" t="s">
        <v>314</v>
      </c>
      <c r="D148" s="8"/>
      <c r="E148" s="22" t="s">
        <v>300</v>
      </c>
      <c r="F148" s="8" t="s">
        <v>257</v>
      </c>
      <c r="G148" s="25"/>
      <c r="H148" s="8" t="s">
        <v>97</v>
      </c>
      <c r="I148" s="8" t="s">
        <v>304</v>
      </c>
      <c r="J148" s="26"/>
      <c r="K148" s="27">
        <v>1</v>
      </c>
      <c r="L148" s="26">
        <f>ListaDeInventario[[#This Row],[Precio por unidad]]*ListaDeInventario[[#This Row],[Cantidad en existencias]]</f>
        <v>0</v>
      </c>
      <c r="M148" s="27"/>
      <c r="N148" s="27"/>
      <c r="O148" s="11" t="s">
        <v>575</v>
      </c>
      <c r="P148" s="13"/>
      <c r="Q148" s="13"/>
      <c r="R148" s="28"/>
    </row>
    <row r="149" spans="2:20" ht="30" customHeight="1" x14ac:dyDescent="0.25">
      <c r="B149" s="24">
        <f>IFERROR((ListaDeInventario[[#This Row],[Cantidad en existencias]]&lt;=ListaDeInventario[[#This Row],[Stock critico]])*(ListaDeInventario[[#This Row],[subdivision]]="")*valResaltado,0)</f>
        <v>0</v>
      </c>
      <c r="C149" s="8" t="s">
        <v>315</v>
      </c>
      <c r="D149" s="8"/>
      <c r="E149" s="22" t="s">
        <v>300</v>
      </c>
      <c r="F149" s="8" t="s">
        <v>258</v>
      </c>
      <c r="G149" s="25"/>
      <c r="H149" s="8" t="s">
        <v>97</v>
      </c>
      <c r="I149" s="8" t="s">
        <v>304</v>
      </c>
      <c r="J149" s="26"/>
      <c r="K149" s="27">
        <v>1</v>
      </c>
      <c r="L149" s="26">
        <f>ListaDeInventario[[#This Row],[Precio por unidad]]*ListaDeInventario[[#This Row],[Cantidad en existencias]]</f>
        <v>0</v>
      </c>
      <c r="M149" s="27"/>
      <c r="N149" s="27"/>
      <c r="O149" s="11" t="s">
        <v>575</v>
      </c>
      <c r="P149" s="13"/>
      <c r="Q149" s="13"/>
      <c r="R149" s="28"/>
    </row>
    <row r="150" spans="2:20" ht="30" customHeight="1" x14ac:dyDescent="0.25">
      <c r="B150" s="24">
        <f>IFERROR((ListaDeInventario[[#This Row],[Cantidad en existencias]]&lt;=ListaDeInventario[[#This Row],[Stock critico]])*(ListaDeInventario[[#This Row],[subdivision]]="")*valResaltado,0)</f>
        <v>0</v>
      </c>
      <c r="C150" s="8" t="s">
        <v>316</v>
      </c>
      <c r="D150" s="8" t="s">
        <v>211</v>
      </c>
      <c r="E150" s="22" t="s">
        <v>297</v>
      </c>
      <c r="F150" s="8" t="s">
        <v>259</v>
      </c>
      <c r="G150" s="25"/>
      <c r="H150" s="8" t="s">
        <v>97</v>
      </c>
      <c r="I150" s="8" t="s">
        <v>296</v>
      </c>
      <c r="J150" s="26"/>
      <c r="K150" s="27">
        <v>2</v>
      </c>
      <c r="L150" s="26">
        <f>ListaDeInventario[[#This Row],[Precio por unidad]]*ListaDeInventario[[#This Row],[Cantidad en existencias]]</f>
        <v>0</v>
      </c>
      <c r="M150" s="27">
        <v>1</v>
      </c>
      <c r="N150" s="27"/>
      <c r="O150" s="11" t="s">
        <v>575</v>
      </c>
      <c r="P150" s="13"/>
      <c r="Q150" s="13"/>
      <c r="R150" s="28"/>
    </row>
    <row r="151" spans="2:20" ht="30" customHeight="1" x14ac:dyDescent="0.25">
      <c r="B151" s="24">
        <f>IFERROR((ListaDeInventario[[#This Row],[Cantidad en existencias]]&lt;=ListaDeInventario[[#This Row],[Stock critico]])*(ListaDeInventario[[#This Row],[subdivision]]="")*valResaltado,0)</f>
        <v>0</v>
      </c>
      <c r="C151" s="8" t="s">
        <v>317</v>
      </c>
      <c r="D151" s="8" t="s">
        <v>322</v>
      </c>
      <c r="E151" s="22" t="s">
        <v>298</v>
      </c>
      <c r="F151" s="8" t="s">
        <v>260</v>
      </c>
      <c r="G151" s="25"/>
      <c r="H151" s="8" t="s">
        <v>97</v>
      </c>
      <c r="I151" s="8" t="s">
        <v>305</v>
      </c>
      <c r="J151" s="26">
        <v>46511</v>
      </c>
      <c r="K151" s="27">
        <v>1</v>
      </c>
      <c r="L151" s="26">
        <f>ListaDeInventario[[#This Row],[Precio por unidad]]*ListaDeInventario[[#This Row],[Cantidad en existencias]]</f>
        <v>46511</v>
      </c>
      <c r="M151" s="27"/>
      <c r="N151" s="27"/>
      <c r="O151" s="11" t="s">
        <v>575</v>
      </c>
      <c r="P151" s="13"/>
      <c r="Q151" s="13"/>
      <c r="R151" s="28"/>
    </row>
    <row r="152" spans="2:20" ht="30" customHeight="1" x14ac:dyDescent="0.25">
      <c r="B152" s="24">
        <f>IFERROR((ListaDeInventario[[#This Row],[Cantidad en existencias]]&lt;=ListaDeInventario[[#This Row],[Stock critico]])*(ListaDeInventario[[#This Row],[subdivision]]="")*valResaltado,0)</f>
        <v>0</v>
      </c>
      <c r="C152" s="8" t="s">
        <v>318</v>
      </c>
      <c r="D152" s="8" t="s">
        <v>322</v>
      </c>
      <c r="E152" s="22" t="s">
        <v>297</v>
      </c>
      <c r="F152" s="8" t="s">
        <v>261</v>
      </c>
      <c r="G152" s="25"/>
      <c r="H152" s="8" t="s">
        <v>97</v>
      </c>
      <c r="I152" s="8" t="s">
        <v>305</v>
      </c>
      <c r="J152" s="26"/>
      <c r="K152" s="27">
        <v>1</v>
      </c>
      <c r="L152" s="26">
        <f>ListaDeInventario[[#This Row],[Precio por unidad]]*ListaDeInventario[[#This Row],[Cantidad en existencias]]</f>
        <v>0</v>
      </c>
      <c r="M152" s="27"/>
      <c r="N152" s="27"/>
      <c r="O152" s="11" t="s">
        <v>575</v>
      </c>
      <c r="P152" s="13"/>
      <c r="Q152" s="13"/>
      <c r="R152" s="28"/>
    </row>
    <row r="153" spans="2:20" ht="30" customHeight="1" x14ac:dyDescent="0.25">
      <c r="B153" s="24">
        <f>IFERROR((ListaDeInventario[[#This Row],[Cantidad en existencias]]&lt;=ListaDeInventario[[#This Row],[Stock critico]])*(ListaDeInventario[[#This Row],[subdivision]]="")*valResaltado,0)</f>
        <v>0</v>
      </c>
      <c r="C153" s="8" t="s">
        <v>319</v>
      </c>
      <c r="D153" s="8" t="s">
        <v>322</v>
      </c>
      <c r="E153" s="22" t="s">
        <v>301</v>
      </c>
      <c r="F153" s="8" t="s">
        <v>262</v>
      </c>
      <c r="G153" s="25"/>
      <c r="H153" s="8" t="s">
        <v>97</v>
      </c>
      <c r="I153" s="8" t="s">
        <v>305</v>
      </c>
      <c r="J153" s="26">
        <v>38471</v>
      </c>
      <c r="K153" s="27">
        <v>1</v>
      </c>
      <c r="L153" s="26">
        <f>ListaDeInventario[[#This Row],[Precio por unidad]]*ListaDeInventario[[#This Row],[Cantidad en existencias]]</f>
        <v>38471</v>
      </c>
      <c r="M153" s="27"/>
      <c r="N153" s="27"/>
      <c r="O153" s="11" t="s">
        <v>575</v>
      </c>
      <c r="P153" s="13"/>
      <c r="Q153" s="13"/>
      <c r="R153" s="28"/>
    </row>
    <row r="154" spans="2:20" ht="30" customHeight="1" x14ac:dyDescent="0.25">
      <c r="B154" s="24">
        <f>IFERROR((ListaDeInventario[[#This Row],[Cantidad en existencias]]&lt;=ListaDeInventario[[#This Row],[Stock critico]])*(ListaDeInventario[[#This Row],[subdivision]]="")*valResaltado,0)</f>
        <v>0</v>
      </c>
      <c r="C154" s="8" t="s">
        <v>320</v>
      </c>
      <c r="D154" s="8" t="s">
        <v>322</v>
      </c>
      <c r="E154" s="22" t="s">
        <v>301</v>
      </c>
      <c r="F154" s="8" t="s">
        <v>265</v>
      </c>
      <c r="G154" s="25"/>
      <c r="H154" s="8" t="s">
        <v>97</v>
      </c>
      <c r="I154" s="8" t="s">
        <v>305</v>
      </c>
      <c r="J154" s="26">
        <v>50464</v>
      </c>
      <c r="K154" s="27">
        <v>1</v>
      </c>
      <c r="L154" s="26">
        <f>ListaDeInventario[[#This Row],[Precio por unidad]]*ListaDeInventario[[#This Row],[Cantidad en existencias]]</f>
        <v>50464</v>
      </c>
      <c r="M154" s="27"/>
      <c r="N154" s="27"/>
      <c r="O154" s="11" t="s">
        <v>575</v>
      </c>
      <c r="P154" s="13"/>
      <c r="Q154" s="13"/>
      <c r="R154" s="28"/>
    </row>
    <row r="155" spans="2:20" ht="30" customHeight="1" x14ac:dyDescent="0.25">
      <c r="B155" s="24">
        <f>IFERROR((ListaDeInventario[[#This Row],[Cantidad en existencias]]&lt;=ListaDeInventario[[#This Row],[Stock critico]])*(ListaDeInventario[[#This Row],[subdivision]]="")*valResaltado,0)</f>
        <v>0</v>
      </c>
      <c r="C155" s="8" t="s">
        <v>321</v>
      </c>
      <c r="D155" s="8" t="s">
        <v>322</v>
      </c>
      <c r="E155" s="22" t="s">
        <v>295</v>
      </c>
      <c r="F155" s="8" t="s">
        <v>264</v>
      </c>
      <c r="G155" s="25"/>
      <c r="H155" s="8" t="s">
        <v>97</v>
      </c>
      <c r="I155" s="8" t="s">
        <v>305</v>
      </c>
      <c r="J155" s="26">
        <v>9568</v>
      </c>
      <c r="K155" s="27">
        <v>1</v>
      </c>
      <c r="L155" s="26">
        <f>ListaDeInventario[[#This Row],[Precio por unidad]]*ListaDeInventario[[#This Row],[Cantidad en existencias]]</f>
        <v>9568</v>
      </c>
      <c r="M155" s="27"/>
      <c r="N155" s="27"/>
      <c r="O155" s="11" t="s">
        <v>575</v>
      </c>
      <c r="P155" s="13"/>
      <c r="Q155" s="13"/>
      <c r="R155" s="28"/>
    </row>
    <row r="156" spans="2:20" ht="30" customHeight="1" x14ac:dyDescent="0.25">
      <c r="B156" s="24">
        <f>IFERROR((ListaDeInventario[[#This Row],[Cantidad en existencias]]&lt;=ListaDeInventario[[#This Row],[Stock critico]])*(ListaDeInventario[[#This Row],[subdivision]]="")*valResaltado,0)</f>
        <v>0</v>
      </c>
      <c r="C156" s="8" t="s">
        <v>409</v>
      </c>
      <c r="D156" s="8"/>
      <c r="E156" s="22" t="s">
        <v>297</v>
      </c>
      <c r="F156" s="8" t="s">
        <v>263</v>
      </c>
      <c r="G156" s="25"/>
      <c r="H156" s="8" t="s">
        <v>97</v>
      </c>
      <c r="I156" s="8" t="s">
        <v>306</v>
      </c>
      <c r="J156" s="26"/>
      <c r="K156" s="27">
        <v>1</v>
      </c>
      <c r="L156" s="26">
        <f>ListaDeInventario[[#This Row],[Precio por unidad]]*ListaDeInventario[[#This Row],[Cantidad en existencias]]</f>
        <v>0</v>
      </c>
      <c r="M156" s="27"/>
      <c r="N156" s="27"/>
      <c r="O156" s="11" t="s">
        <v>575</v>
      </c>
      <c r="P156" s="13"/>
      <c r="Q156" s="13"/>
      <c r="R156" s="28"/>
    </row>
    <row r="157" spans="2:20" ht="30" customHeight="1" x14ac:dyDescent="0.25">
      <c r="B157" s="24">
        <f>IFERROR((ListaDeInventario[[#This Row],[Cantidad en existencias]]&lt;=ListaDeInventario[[#This Row],[Stock critico]])*(ListaDeInventario[[#This Row],[subdivision]]="")*valResaltado,0)</f>
        <v>0</v>
      </c>
      <c r="C157" s="8" t="s">
        <v>410</v>
      </c>
      <c r="D157" s="8" t="s">
        <v>328</v>
      </c>
      <c r="E157" s="22" t="s">
        <v>324</v>
      </c>
      <c r="F157" s="8" t="s">
        <v>323</v>
      </c>
      <c r="G157" s="22" t="s">
        <v>341</v>
      </c>
      <c r="H157" s="8" t="s">
        <v>326</v>
      </c>
      <c r="I157" s="8" t="s">
        <v>325</v>
      </c>
      <c r="J157" s="26">
        <v>2467.7067307692309</v>
      </c>
      <c r="K157" s="27">
        <v>624</v>
      </c>
      <c r="L157" s="26">
        <f>ListaDeInventario[[#This Row],[Precio por unidad]]*ListaDeInventario[[#This Row],[Cantidad en existencias]]</f>
        <v>1539849</v>
      </c>
      <c r="M157" s="11" t="s">
        <v>327</v>
      </c>
      <c r="N157" s="27"/>
      <c r="O157" s="11" t="s">
        <v>575</v>
      </c>
      <c r="P157" s="13" t="s">
        <v>574</v>
      </c>
      <c r="Q157" s="13" t="s">
        <v>354</v>
      </c>
      <c r="R157" s="28"/>
    </row>
    <row r="158" spans="2:20" ht="30" customHeight="1" x14ac:dyDescent="0.25">
      <c r="B158" s="24">
        <f>IFERROR((ListaDeInventario[[#This Row],[Cantidad en existencias]]&lt;=ListaDeInventario[[#This Row],[Stock critico]])*(ListaDeInventario[[#This Row],[subdivision]]="")*valResaltado,0)</f>
        <v>0</v>
      </c>
      <c r="C158" s="8" t="s">
        <v>411</v>
      </c>
      <c r="D158" s="8" t="s">
        <v>328</v>
      </c>
      <c r="E158" s="22" t="s">
        <v>324</v>
      </c>
      <c r="F158" s="8" t="s">
        <v>329</v>
      </c>
      <c r="G158" s="22" t="s">
        <v>341</v>
      </c>
      <c r="H158" s="8" t="s">
        <v>326</v>
      </c>
      <c r="I158" s="8" t="s">
        <v>325</v>
      </c>
      <c r="J158" s="26">
        <v>2995.1923076923076</v>
      </c>
      <c r="K158" s="27">
        <v>1</v>
      </c>
      <c r="L158" s="26">
        <f>ListaDeInventario[[#This Row],[Precio por unidad]]*ListaDeInventario[[#This Row],[Cantidad en existencias]]</f>
        <v>2995.1923076923076</v>
      </c>
      <c r="M158" s="11" t="s">
        <v>327</v>
      </c>
      <c r="N158" s="27"/>
      <c r="O158" s="11" t="s">
        <v>575</v>
      </c>
      <c r="P158" s="13" t="s">
        <v>574</v>
      </c>
      <c r="Q158" s="13" t="s">
        <v>354</v>
      </c>
      <c r="R158" s="28"/>
    </row>
    <row r="159" spans="2:20" ht="30" customHeight="1" x14ac:dyDescent="0.25">
      <c r="B159" s="24">
        <f>IFERROR((ListaDeInventario[[#This Row],[Cantidad en existencias]]&lt;=ListaDeInventario[[#This Row],[Stock critico]])*(ListaDeInventario[[#This Row],[subdivision]]="")*valResaltado,0)</f>
        <v>0</v>
      </c>
      <c r="C159" s="8" t="s">
        <v>412</v>
      </c>
      <c r="D159" s="8" t="s">
        <v>328</v>
      </c>
      <c r="E159" s="22" t="s">
        <v>330</v>
      </c>
      <c r="F159" s="8" t="s">
        <v>345</v>
      </c>
      <c r="G159" s="22" t="s">
        <v>342</v>
      </c>
      <c r="H159" s="8" t="s">
        <v>326</v>
      </c>
      <c r="I159" s="8" t="s">
        <v>325</v>
      </c>
      <c r="J159" s="26">
        <v>3125</v>
      </c>
      <c r="K159" s="27">
        <v>446</v>
      </c>
      <c r="L159" s="26">
        <f>ListaDeInventario[[#This Row],[Precio por unidad]]*ListaDeInventario[[#This Row],[Cantidad en existencias]]</f>
        <v>1393750</v>
      </c>
      <c r="M159" s="11" t="s">
        <v>327</v>
      </c>
      <c r="N159" s="27"/>
      <c r="O159" s="11" t="s">
        <v>575</v>
      </c>
      <c r="P159" s="13" t="s">
        <v>574</v>
      </c>
      <c r="Q159" s="13" t="s">
        <v>354</v>
      </c>
      <c r="R159" s="28"/>
    </row>
    <row r="160" spans="2:20" ht="30" customHeight="1" x14ac:dyDescent="0.25">
      <c r="B160" s="24">
        <f>IFERROR((ListaDeInventario[[#This Row],[Cantidad en existencias]]&lt;=ListaDeInventario[[#This Row],[Stock critico]])*(ListaDeInventario[[#This Row],[subdivision]]="")*valResaltado,0)</f>
        <v>0</v>
      </c>
      <c r="C160" s="8" t="s">
        <v>413</v>
      </c>
      <c r="D160" s="8" t="s">
        <v>328</v>
      </c>
      <c r="E160" s="22" t="s">
        <v>330</v>
      </c>
      <c r="F160" s="8" t="s">
        <v>346</v>
      </c>
      <c r="G160" s="22" t="s">
        <v>343</v>
      </c>
      <c r="H160" s="8" t="s">
        <v>326</v>
      </c>
      <c r="I160" s="8" t="s">
        <v>325</v>
      </c>
      <c r="J160" s="26">
        <v>2388.7067307692309</v>
      </c>
      <c r="K160" s="27">
        <v>170</v>
      </c>
      <c r="L160" s="26">
        <f>ListaDeInventario[[#This Row],[Precio por unidad]]*ListaDeInventario[[#This Row],[Cantidad en existencias]]</f>
        <v>406080.14423076925</v>
      </c>
      <c r="M160" s="11" t="s">
        <v>327</v>
      </c>
      <c r="N160" s="27"/>
      <c r="O160" s="11" t="s">
        <v>575</v>
      </c>
      <c r="P160" s="13" t="s">
        <v>574</v>
      </c>
      <c r="Q160" s="13" t="s">
        <v>354</v>
      </c>
      <c r="R160" s="28"/>
    </row>
    <row r="161" spans="2:18" ht="30" customHeight="1" x14ac:dyDescent="0.25">
      <c r="B161" s="24">
        <f>IFERROR((ListaDeInventario[[#This Row],[Cantidad en existencias]]&lt;=ListaDeInventario[[#This Row],[Stock critico]])*(ListaDeInventario[[#This Row],[subdivision]]="")*valResaltado,0)</f>
        <v>0</v>
      </c>
      <c r="C161" s="8" t="s">
        <v>414</v>
      </c>
      <c r="D161" s="8" t="s">
        <v>328</v>
      </c>
      <c r="E161" s="22" t="s">
        <v>331</v>
      </c>
      <c r="F161" s="8" t="s">
        <v>332</v>
      </c>
      <c r="G161" s="22" t="s">
        <v>341</v>
      </c>
      <c r="H161" s="8" t="s">
        <v>326</v>
      </c>
      <c r="I161" s="8" t="s">
        <v>325</v>
      </c>
      <c r="J161" s="26">
        <v>2725.9615384615386</v>
      </c>
      <c r="K161" s="27">
        <v>208</v>
      </c>
      <c r="L161" s="26">
        <f>ListaDeInventario[[#This Row],[Precio por unidad]]*ListaDeInventario[[#This Row],[Cantidad en existencias]]</f>
        <v>567000</v>
      </c>
      <c r="M161" s="11" t="s">
        <v>327</v>
      </c>
      <c r="N161" s="27"/>
      <c r="O161" s="11" t="s">
        <v>575</v>
      </c>
      <c r="P161" s="13" t="s">
        <v>574</v>
      </c>
      <c r="Q161" s="13" t="s">
        <v>354</v>
      </c>
      <c r="R161" s="28"/>
    </row>
    <row r="162" spans="2:18" ht="30" customHeight="1" x14ac:dyDescent="0.25">
      <c r="B162" s="24">
        <f>IFERROR((ListaDeInventario[[#This Row],[Cantidad en existencias]]&lt;=ListaDeInventario[[#This Row],[Stock critico]])*(ListaDeInventario[[#This Row],[subdivision]]="")*valResaltado,0)</f>
        <v>0</v>
      </c>
      <c r="C162" s="8" t="s">
        <v>415</v>
      </c>
      <c r="D162" s="8" t="s">
        <v>328</v>
      </c>
      <c r="E162" s="22" t="s">
        <v>331</v>
      </c>
      <c r="F162" s="8" t="s">
        <v>333</v>
      </c>
      <c r="G162" s="22" t="s">
        <v>341</v>
      </c>
      <c r="H162" s="8" t="s">
        <v>326</v>
      </c>
      <c r="I162" s="8" t="s">
        <v>325</v>
      </c>
      <c r="J162" s="26">
        <v>0</v>
      </c>
      <c r="K162" s="27">
        <v>1</v>
      </c>
      <c r="L162" s="26">
        <v>0</v>
      </c>
      <c r="M162" s="27">
        <v>1</v>
      </c>
      <c r="N162" s="27"/>
      <c r="O162" s="11" t="s">
        <v>575</v>
      </c>
      <c r="P162" s="13" t="s">
        <v>574</v>
      </c>
      <c r="Q162" s="13" t="s">
        <v>354</v>
      </c>
      <c r="R162" s="28"/>
    </row>
    <row r="163" spans="2:18" ht="30" customHeight="1" x14ac:dyDescent="0.25">
      <c r="B163" s="24">
        <f>IFERROR((ListaDeInventario[[#This Row],[Cantidad en existencias]]&lt;=ListaDeInventario[[#This Row],[Stock critico]])*(ListaDeInventario[[#This Row],[subdivision]]="")*valResaltado,0)</f>
        <v>0</v>
      </c>
      <c r="C163" s="8" t="s">
        <v>416</v>
      </c>
      <c r="D163" s="8" t="s">
        <v>328</v>
      </c>
      <c r="E163" s="22" t="s">
        <v>334</v>
      </c>
      <c r="F163" s="8" t="s">
        <v>335</v>
      </c>
      <c r="G163" s="22" t="s">
        <v>344</v>
      </c>
      <c r="H163" s="8" t="s">
        <v>336</v>
      </c>
      <c r="I163" s="8" t="s">
        <v>325</v>
      </c>
      <c r="J163" s="26">
        <v>5269.1682692307695</v>
      </c>
      <c r="K163" s="27">
        <v>462</v>
      </c>
      <c r="L163" s="26">
        <f>ListaDeInventario[[#This Row],[Precio por unidad]]*ListaDeInventario[[#This Row],[Cantidad en existencias]]</f>
        <v>2434355.7403846155</v>
      </c>
      <c r="M163" s="11" t="s">
        <v>347</v>
      </c>
      <c r="N163" s="27"/>
      <c r="O163" s="11" t="s">
        <v>575</v>
      </c>
      <c r="P163" s="13" t="s">
        <v>574</v>
      </c>
      <c r="Q163" s="13" t="s">
        <v>354</v>
      </c>
      <c r="R163" s="28"/>
    </row>
    <row r="164" spans="2:18" ht="30" customHeight="1" x14ac:dyDescent="0.25">
      <c r="B164" s="24">
        <f>IFERROR((ListaDeInventario[[#This Row],[Cantidad en existencias]]&lt;=ListaDeInventario[[#This Row],[Stock critico]])*(ListaDeInventario[[#This Row],[subdivision]]="")*valResaltado,0)</f>
        <v>0</v>
      </c>
      <c r="C164" s="8" t="s">
        <v>417</v>
      </c>
      <c r="D164" s="8" t="s">
        <v>328</v>
      </c>
      <c r="E164" s="22" t="s">
        <v>331</v>
      </c>
      <c r="F164" s="8" t="s">
        <v>337</v>
      </c>
      <c r="G164" s="22" t="s">
        <v>341</v>
      </c>
      <c r="H164" s="8" t="s">
        <v>326</v>
      </c>
      <c r="I164" s="8" t="s">
        <v>325</v>
      </c>
      <c r="J164" s="26">
        <v>2115.3846153846152</v>
      </c>
      <c r="K164" s="27">
        <v>208</v>
      </c>
      <c r="L164" s="26">
        <f>ListaDeInventario[[#This Row],[Precio por unidad]]*ListaDeInventario[[#This Row],[Cantidad en existencias]]</f>
        <v>440000</v>
      </c>
      <c r="M164" s="11" t="s">
        <v>327</v>
      </c>
      <c r="N164" s="27"/>
      <c r="O164" s="11" t="s">
        <v>575</v>
      </c>
      <c r="P164" s="13" t="s">
        <v>574</v>
      </c>
      <c r="Q164" s="13" t="s">
        <v>354</v>
      </c>
      <c r="R164" s="28"/>
    </row>
    <row r="165" spans="2:18" ht="30" customHeight="1" x14ac:dyDescent="0.25">
      <c r="B165" s="24">
        <f>IFERROR((ListaDeInventario[[#This Row],[Cantidad en existencias]]&lt;=ListaDeInventario[[#This Row],[Stock critico]])*(ListaDeInventario[[#This Row],[subdivision]]="")*valResaltado,0)</f>
        <v>0</v>
      </c>
      <c r="C165" s="8" t="s">
        <v>418</v>
      </c>
      <c r="D165" s="8" t="s">
        <v>328</v>
      </c>
      <c r="E165" s="25" t="s">
        <v>338</v>
      </c>
      <c r="F165" s="30">
        <v>0.5</v>
      </c>
      <c r="G165" s="22" t="s">
        <v>341</v>
      </c>
      <c r="H165" s="8" t="s">
        <v>326</v>
      </c>
      <c r="I165" s="8" t="s">
        <v>325</v>
      </c>
      <c r="J165" s="26">
        <v>2451.9230769230771</v>
      </c>
      <c r="K165" s="27">
        <v>620</v>
      </c>
      <c r="L165" s="26">
        <f>ListaDeInventario[[#This Row],[Precio por unidad]]*ListaDeInventario[[#This Row],[Cantidad en existencias]]</f>
        <v>1520192.3076923077</v>
      </c>
      <c r="M165" s="11" t="s">
        <v>327</v>
      </c>
      <c r="N165" s="27"/>
      <c r="O165" s="11" t="s">
        <v>575</v>
      </c>
      <c r="P165" s="13" t="s">
        <v>574</v>
      </c>
      <c r="Q165" s="13" t="s">
        <v>354</v>
      </c>
      <c r="R165" s="28"/>
    </row>
    <row r="166" spans="2:18" ht="30" customHeight="1" x14ac:dyDescent="0.25">
      <c r="B166" s="24">
        <f>IFERROR((ListaDeInventario[[#This Row],[Cantidad en existencias]]&lt;=ListaDeInventario[[#This Row],[Stock critico]])*(ListaDeInventario[[#This Row],[subdivision]]="")*valResaltado,0)</f>
        <v>0</v>
      </c>
      <c r="C166" s="8" t="s">
        <v>419</v>
      </c>
      <c r="D166" s="8" t="s">
        <v>328</v>
      </c>
      <c r="E166" s="22" t="s">
        <v>339</v>
      </c>
      <c r="F166" s="8" t="s">
        <v>340</v>
      </c>
      <c r="G166" s="22" t="s">
        <v>341</v>
      </c>
      <c r="H166" s="8" t="s">
        <v>326</v>
      </c>
      <c r="I166" s="8" t="s">
        <v>325</v>
      </c>
      <c r="J166" s="26">
        <v>841.3</v>
      </c>
      <c r="K166" s="27">
        <v>330</v>
      </c>
      <c r="L166" s="26">
        <f>ListaDeInventario[[#This Row],[Precio por unidad]]*ListaDeInventario[[#This Row],[Cantidad en existencias]]</f>
        <v>277629</v>
      </c>
      <c r="M166" s="27">
        <v>1</v>
      </c>
      <c r="N166" s="27"/>
      <c r="O166" s="11" t="s">
        <v>575</v>
      </c>
      <c r="P166" s="13" t="s">
        <v>574</v>
      </c>
      <c r="Q166" s="13" t="s">
        <v>354</v>
      </c>
      <c r="R166" s="28"/>
    </row>
    <row r="167" spans="2:18" ht="30" customHeight="1" x14ac:dyDescent="0.25">
      <c r="B167" s="24">
        <f>IFERROR((ListaDeInventario[[#This Row],[Cantidad en existencias]]&lt;=ListaDeInventario[[#This Row],[Stock critico]])*(ListaDeInventario[[#This Row],[subdivision]]="")*valResaltado,0)</f>
        <v>0</v>
      </c>
      <c r="C167" s="8" t="s">
        <v>420</v>
      </c>
      <c r="D167" s="8" t="s">
        <v>328</v>
      </c>
      <c r="E167" s="22" t="s">
        <v>348</v>
      </c>
      <c r="F167" s="8" t="s">
        <v>349</v>
      </c>
      <c r="G167" s="22" t="s">
        <v>350</v>
      </c>
      <c r="H167" s="8" t="s">
        <v>326</v>
      </c>
      <c r="I167" s="8" t="s">
        <v>351</v>
      </c>
      <c r="J167" s="26"/>
      <c r="K167" s="27">
        <v>6</v>
      </c>
      <c r="L167" s="26">
        <f>ListaDeInventario[[#This Row],[Precio por unidad]]*ListaDeInventario[[#This Row],[Cantidad en existencias]]</f>
        <v>0</v>
      </c>
      <c r="M167" s="27">
        <v>0</v>
      </c>
      <c r="N167" s="27"/>
      <c r="O167" s="11" t="s">
        <v>575</v>
      </c>
      <c r="P167" s="13" t="s">
        <v>574</v>
      </c>
      <c r="Q167" s="13" t="s">
        <v>354</v>
      </c>
      <c r="R167" s="28"/>
    </row>
    <row r="168" spans="2:18" ht="30" customHeight="1" x14ac:dyDescent="0.25">
      <c r="B168" s="24">
        <f>IFERROR((ListaDeInventario[[#This Row],[Cantidad en existencias]]&lt;=ListaDeInventario[[#This Row],[Stock critico]])*(ListaDeInventario[[#This Row],[subdivision]]="")*valResaltado,0)</f>
        <v>0</v>
      </c>
      <c r="C168" s="8" t="s">
        <v>421</v>
      </c>
      <c r="D168" s="8" t="s">
        <v>328</v>
      </c>
      <c r="E168" s="25" t="s">
        <v>331</v>
      </c>
      <c r="F168" s="8" t="s">
        <v>352</v>
      </c>
      <c r="G168" s="22" t="s">
        <v>353</v>
      </c>
      <c r="H168" s="8" t="s">
        <v>326</v>
      </c>
      <c r="I168" s="8" t="s">
        <v>325</v>
      </c>
      <c r="J168" s="26"/>
      <c r="K168" s="27">
        <v>1</v>
      </c>
      <c r="L168" s="26">
        <f>ListaDeInventario[[#This Row],[Precio por unidad]]*ListaDeInventario[[#This Row],[Cantidad en existencias]]</f>
        <v>0</v>
      </c>
      <c r="M168" s="27">
        <v>0</v>
      </c>
      <c r="N168" s="27"/>
      <c r="O168" s="11" t="s">
        <v>575</v>
      </c>
      <c r="P168" s="13" t="s">
        <v>574</v>
      </c>
      <c r="Q168" s="13" t="s">
        <v>354</v>
      </c>
      <c r="R168" s="28"/>
    </row>
    <row r="169" spans="2:18" ht="30" customHeight="1" x14ac:dyDescent="0.25">
      <c r="B169" s="24">
        <f>IFERROR((ListaDeInventario[[#This Row],[Cantidad en existencias]]&lt;=ListaDeInventario[[#This Row],[Stock critico]])*(ListaDeInventario[[#This Row],[subdivision]]="")*valResaltado,0)</f>
        <v>0</v>
      </c>
      <c r="C169" s="8" t="s">
        <v>422</v>
      </c>
      <c r="D169" s="8" t="s">
        <v>328</v>
      </c>
      <c r="E169" s="22" t="s">
        <v>331</v>
      </c>
      <c r="F169" s="8" t="s">
        <v>337</v>
      </c>
      <c r="G169" s="22" t="s">
        <v>353</v>
      </c>
      <c r="H169" s="8" t="s">
        <v>326</v>
      </c>
      <c r="I169" s="8" t="s">
        <v>325</v>
      </c>
      <c r="J169" s="26"/>
      <c r="K169" s="27">
        <v>2</v>
      </c>
      <c r="L169" s="26">
        <f>ListaDeInventario[[#This Row],[Precio por unidad]]*ListaDeInventario[[#This Row],[Cantidad en existencias]]</f>
        <v>0</v>
      </c>
      <c r="M169" s="27">
        <v>0</v>
      </c>
      <c r="N169" s="27"/>
      <c r="O169" s="11" t="s">
        <v>575</v>
      </c>
      <c r="P169" s="13" t="s">
        <v>574</v>
      </c>
      <c r="Q169" s="13" t="s">
        <v>354</v>
      </c>
      <c r="R169" s="28"/>
    </row>
    <row r="170" spans="2:18" ht="30" customHeight="1" x14ac:dyDescent="0.25">
      <c r="B170" s="24">
        <f>IFERROR((ListaDeInventario[[#This Row],[Cantidad en existencias]]&lt;=ListaDeInventario[[#This Row],[Stock critico]])*(ListaDeInventario[[#This Row],[subdivision]]="")*valResaltado,0)</f>
        <v>0</v>
      </c>
      <c r="C170" s="8" t="s">
        <v>423</v>
      </c>
      <c r="D170" s="8" t="s">
        <v>328</v>
      </c>
      <c r="E170" s="25" t="s">
        <v>331</v>
      </c>
      <c r="F170" s="8" t="s">
        <v>355</v>
      </c>
      <c r="G170" s="22" t="s">
        <v>353</v>
      </c>
      <c r="H170" s="8" t="s">
        <v>326</v>
      </c>
      <c r="I170" s="8" t="s">
        <v>304</v>
      </c>
      <c r="J170" s="26"/>
      <c r="K170" s="27">
        <v>2</v>
      </c>
      <c r="L170" s="26">
        <f>ListaDeInventario[[#This Row],[Precio por unidad]]*ListaDeInventario[[#This Row],[Cantidad en existencias]]</f>
        <v>0</v>
      </c>
      <c r="M170" s="27">
        <v>0</v>
      </c>
      <c r="N170" s="27"/>
      <c r="O170" s="11" t="s">
        <v>575</v>
      </c>
      <c r="P170" s="13" t="s">
        <v>574</v>
      </c>
      <c r="Q170" s="13" t="s">
        <v>354</v>
      </c>
      <c r="R170" s="28"/>
    </row>
    <row r="171" spans="2:18" ht="30" customHeight="1" x14ac:dyDescent="0.25">
      <c r="B171" s="24">
        <f>IFERROR((ListaDeInventario[[#This Row],[Cantidad en existencias]]&lt;=ListaDeInventario[[#This Row],[Stock critico]])*(ListaDeInventario[[#This Row],[subdivision]]="")*valResaltado,0)</f>
        <v>0</v>
      </c>
      <c r="C171" s="8" t="s">
        <v>424</v>
      </c>
      <c r="D171" s="8" t="s">
        <v>328</v>
      </c>
      <c r="E171" s="25" t="s">
        <v>330</v>
      </c>
      <c r="F171" s="8" t="s">
        <v>356</v>
      </c>
      <c r="G171" s="22" t="s">
        <v>353</v>
      </c>
      <c r="H171" s="8" t="s">
        <v>326</v>
      </c>
      <c r="I171" s="8" t="s">
        <v>304</v>
      </c>
      <c r="J171" s="26"/>
      <c r="K171" s="27">
        <v>2</v>
      </c>
      <c r="L171" s="26">
        <f>ListaDeInventario[[#This Row],[Precio por unidad]]*ListaDeInventario[[#This Row],[Cantidad en existencias]]</f>
        <v>0</v>
      </c>
      <c r="M171" s="27">
        <v>0</v>
      </c>
      <c r="N171" s="27"/>
      <c r="O171" s="11" t="s">
        <v>575</v>
      </c>
      <c r="P171" s="13" t="s">
        <v>574</v>
      </c>
      <c r="Q171" s="13" t="s">
        <v>354</v>
      </c>
      <c r="R171" s="28"/>
    </row>
    <row r="172" spans="2:18" ht="30" customHeight="1" x14ac:dyDescent="0.25">
      <c r="B172" s="24">
        <f>IFERROR((ListaDeInventario[[#This Row],[Cantidad en existencias]]&lt;=ListaDeInventario[[#This Row],[Stock critico]])*(ListaDeInventario[[#This Row],[subdivision]]="")*valResaltado,0)</f>
        <v>0</v>
      </c>
      <c r="C172" s="8" t="s">
        <v>425</v>
      </c>
      <c r="D172" s="8" t="s">
        <v>381</v>
      </c>
      <c r="E172" s="22" t="s">
        <v>390</v>
      </c>
      <c r="F172" s="8" t="s">
        <v>357</v>
      </c>
      <c r="G172" s="22" t="s">
        <v>385</v>
      </c>
      <c r="H172" s="8" t="s">
        <v>97</v>
      </c>
      <c r="I172" s="8" t="s">
        <v>296</v>
      </c>
      <c r="J172" s="26">
        <v>215000</v>
      </c>
      <c r="K172" s="27">
        <v>5</v>
      </c>
      <c r="L172" s="26">
        <f>ListaDeInventario[[#This Row],[Precio por unidad]]*ListaDeInventario[[#This Row],[Cantidad en existencias]]</f>
        <v>1075000</v>
      </c>
      <c r="M172" s="27"/>
      <c r="N172" s="27"/>
      <c r="O172" s="11" t="s">
        <v>575</v>
      </c>
      <c r="P172" s="13" t="s">
        <v>554</v>
      </c>
      <c r="Q172" s="13"/>
      <c r="R172" s="28"/>
    </row>
    <row r="173" spans="2:18" ht="30" customHeight="1" x14ac:dyDescent="0.25">
      <c r="B173" s="24">
        <f>IFERROR((ListaDeInventario[[#This Row],[Cantidad en existencias]]&lt;=ListaDeInventario[[#This Row],[Stock critico]])*(ListaDeInventario[[#This Row],[subdivision]]="")*valResaltado,0)</f>
        <v>0</v>
      </c>
      <c r="C173" s="8" t="s">
        <v>426</v>
      </c>
      <c r="D173" s="8" t="s">
        <v>381</v>
      </c>
      <c r="E173" s="22" t="s">
        <v>391</v>
      </c>
      <c r="F173" s="8" t="s">
        <v>382</v>
      </c>
      <c r="G173" s="22" t="s">
        <v>385</v>
      </c>
      <c r="H173" s="8" t="s">
        <v>97</v>
      </c>
      <c r="I173" s="8" t="s">
        <v>296</v>
      </c>
      <c r="J173" s="26">
        <v>124000</v>
      </c>
      <c r="K173" s="27">
        <v>2</v>
      </c>
      <c r="L173" s="26">
        <f>ListaDeInventario[[#This Row],[Precio por unidad]]*ListaDeInventario[[#This Row],[Cantidad en existencias]]</f>
        <v>248000</v>
      </c>
      <c r="M173" s="27">
        <v>2</v>
      </c>
      <c r="N173" s="27">
        <v>395</v>
      </c>
      <c r="O173" s="11" t="s">
        <v>575</v>
      </c>
      <c r="P173" s="13" t="s">
        <v>554</v>
      </c>
      <c r="Q173" s="13" t="s">
        <v>383</v>
      </c>
      <c r="R173" s="28"/>
    </row>
    <row r="174" spans="2:18" ht="30" customHeight="1" x14ac:dyDescent="0.25">
      <c r="B174" s="24">
        <f>IFERROR((ListaDeInventario[[#This Row],[Cantidad en existencias]]&lt;=ListaDeInventario[[#This Row],[Stock critico]])*(ListaDeInventario[[#This Row],[subdivision]]="")*valResaltado,0)</f>
        <v>0</v>
      </c>
      <c r="C174" s="8" t="s">
        <v>427</v>
      </c>
      <c r="D174" s="8" t="s">
        <v>381</v>
      </c>
      <c r="E174" s="22" t="s">
        <v>395</v>
      </c>
      <c r="F174" s="8" t="s">
        <v>358</v>
      </c>
      <c r="G174" s="22" t="s">
        <v>393</v>
      </c>
      <c r="H174" s="8" t="s">
        <v>97</v>
      </c>
      <c r="I174" s="8" t="s">
        <v>296</v>
      </c>
      <c r="J174" s="26"/>
      <c r="K174" s="27">
        <v>4</v>
      </c>
      <c r="L174" s="26">
        <f>ListaDeInventario[[#This Row],[Precio por unidad]]*ListaDeInventario[[#This Row],[Cantidad en existencias]]</f>
        <v>0</v>
      </c>
      <c r="M174" s="27"/>
      <c r="N174" s="27">
        <v>395</v>
      </c>
      <c r="O174" s="11" t="s">
        <v>575</v>
      </c>
      <c r="P174" s="13" t="s">
        <v>554</v>
      </c>
      <c r="Q174" s="13" t="s">
        <v>383</v>
      </c>
      <c r="R174" s="28"/>
    </row>
    <row r="175" spans="2:18" ht="30" customHeight="1" x14ac:dyDescent="0.25">
      <c r="B175" s="24">
        <f>IFERROR((ListaDeInventario[[#This Row],[Cantidad en existencias]]&lt;=ListaDeInventario[[#This Row],[Stock critico]])*(ListaDeInventario[[#This Row],[subdivision]]="")*valResaltado,0)</f>
        <v>0</v>
      </c>
      <c r="C175" s="8" t="s">
        <v>428</v>
      </c>
      <c r="D175" s="8" t="s">
        <v>381</v>
      </c>
      <c r="E175" s="22" t="s">
        <v>389</v>
      </c>
      <c r="F175" s="31" t="s">
        <v>359</v>
      </c>
      <c r="G175" s="22" t="s">
        <v>388</v>
      </c>
      <c r="H175" s="8"/>
      <c r="I175" s="8"/>
      <c r="J175" s="26"/>
      <c r="K175" s="27">
        <v>1</v>
      </c>
      <c r="L175" s="26">
        <f>ListaDeInventario[[#This Row],[Precio por unidad]]*ListaDeInventario[[#This Row],[Cantidad en existencias]]</f>
        <v>0</v>
      </c>
      <c r="M175" s="27"/>
      <c r="N175" s="27">
        <v>395</v>
      </c>
      <c r="O175" s="11" t="s">
        <v>575</v>
      </c>
      <c r="P175" s="13" t="s">
        <v>554</v>
      </c>
      <c r="Q175" s="13" t="s">
        <v>383</v>
      </c>
      <c r="R175" s="28"/>
    </row>
    <row r="176" spans="2:18" ht="30" customHeight="1" x14ac:dyDescent="0.25">
      <c r="B176" s="24">
        <f>IFERROR((ListaDeInventario[[#This Row],[Cantidad en existencias]]&lt;=ListaDeInventario[[#This Row],[Stock critico]])*(ListaDeInventario[[#This Row],[subdivision]]="")*valResaltado,0)</f>
        <v>0</v>
      </c>
      <c r="C176" s="8" t="s">
        <v>429</v>
      </c>
      <c r="D176" s="8" t="s">
        <v>381</v>
      </c>
      <c r="E176" s="22" t="s">
        <v>389</v>
      </c>
      <c r="F176" s="31" t="s">
        <v>360</v>
      </c>
      <c r="G176" s="22" t="s">
        <v>388</v>
      </c>
      <c r="H176" s="8" t="s">
        <v>97</v>
      </c>
      <c r="I176" s="8" t="s">
        <v>296</v>
      </c>
      <c r="J176" s="26">
        <v>160000</v>
      </c>
      <c r="K176" s="27">
        <v>4</v>
      </c>
      <c r="L176" s="26">
        <f>ListaDeInventario[[#This Row],[Precio por unidad]]*ListaDeInventario[[#This Row],[Cantidad en existencias]]</f>
        <v>640000</v>
      </c>
      <c r="M176" s="27"/>
      <c r="N176" s="27">
        <v>395</v>
      </c>
      <c r="O176" s="11" t="s">
        <v>575</v>
      </c>
      <c r="P176" s="13" t="s">
        <v>554</v>
      </c>
      <c r="Q176" s="13" t="s">
        <v>383</v>
      </c>
      <c r="R176" s="28"/>
    </row>
    <row r="177" spans="2:18" ht="30" customHeight="1" x14ac:dyDescent="0.25">
      <c r="B177" s="24">
        <f>IFERROR((ListaDeInventario[[#This Row],[Cantidad en existencias]]&lt;=ListaDeInventario[[#This Row],[Stock critico]])*(ListaDeInventario[[#This Row],[subdivision]]="")*valResaltado,0)</f>
        <v>0</v>
      </c>
      <c r="C177" s="8" t="s">
        <v>430</v>
      </c>
      <c r="D177" s="8" t="s">
        <v>381</v>
      </c>
      <c r="E177" s="8" t="s">
        <v>387</v>
      </c>
      <c r="F177" s="8" t="s">
        <v>361</v>
      </c>
      <c r="G177" s="22" t="s">
        <v>388</v>
      </c>
      <c r="H177" s="8" t="s">
        <v>97</v>
      </c>
      <c r="I177" s="8" t="s">
        <v>296</v>
      </c>
      <c r="J177" s="26">
        <v>160000</v>
      </c>
      <c r="K177" s="27">
        <v>5</v>
      </c>
      <c r="L177" s="26">
        <f>ListaDeInventario[[#This Row],[Precio por unidad]]*ListaDeInventario[[#This Row],[Cantidad en existencias]]</f>
        <v>800000</v>
      </c>
      <c r="M177" s="27"/>
      <c r="N177" s="27">
        <v>395</v>
      </c>
      <c r="O177" s="11" t="s">
        <v>575</v>
      </c>
      <c r="P177" s="13" t="s">
        <v>554</v>
      </c>
      <c r="Q177" s="13" t="s">
        <v>383</v>
      </c>
      <c r="R177" s="28"/>
    </row>
    <row r="178" spans="2:18" ht="30" customHeight="1" x14ac:dyDescent="0.25">
      <c r="B178" s="24">
        <f>IFERROR((ListaDeInventario[[#This Row],[Cantidad en existencias]]&lt;=ListaDeInventario[[#This Row],[Stock critico]])*(ListaDeInventario[[#This Row],[subdivision]]="")*valResaltado,0)</f>
        <v>0</v>
      </c>
      <c r="C178" s="8" t="s">
        <v>431</v>
      </c>
      <c r="D178" s="8" t="s">
        <v>381</v>
      </c>
      <c r="E178" s="22" t="s">
        <v>396</v>
      </c>
      <c r="F178" s="8" t="s">
        <v>362</v>
      </c>
      <c r="G178" s="22" t="s">
        <v>388</v>
      </c>
      <c r="H178" s="8" t="s">
        <v>97</v>
      </c>
      <c r="I178" s="8" t="s">
        <v>296</v>
      </c>
      <c r="J178" s="26"/>
      <c r="K178" s="27">
        <v>5</v>
      </c>
      <c r="L178" s="26">
        <f>ListaDeInventario[[#This Row],[Precio por unidad]]*ListaDeInventario[[#This Row],[Cantidad en existencias]]</f>
        <v>0</v>
      </c>
      <c r="M178" s="27"/>
      <c r="N178" s="27">
        <v>395</v>
      </c>
      <c r="O178" s="11" t="s">
        <v>575</v>
      </c>
      <c r="P178" s="13" t="s">
        <v>554</v>
      </c>
      <c r="Q178" s="13" t="s">
        <v>383</v>
      </c>
      <c r="R178" s="28"/>
    </row>
    <row r="179" spans="2:18" ht="30" customHeight="1" x14ac:dyDescent="0.25">
      <c r="B179" s="24">
        <f>IFERROR((ListaDeInventario[[#This Row],[Cantidad en existencias]]&lt;=ListaDeInventario[[#This Row],[Stock critico]])*(ListaDeInventario[[#This Row],[subdivision]]="")*valResaltado,0)</f>
        <v>0</v>
      </c>
      <c r="C179" s="8" t="s">
        <v>432</v>
      </c>
      <c r="D179" s="8" t="s">
        <v>381</v>
      </c>
      <c r="E179" s="22" t="s">
        <v>397</v>
      </c>
      <c r="F179" s="8" t="s">
        <v>363</v>
      </c>
      <c r="G179" s="22" t="s">
        <v>398</v>
      </c>
      <c r="H179" s="8" t="s">
        <v>97</v>
      </c>
      <c r="I179" s="8" t="s">
        <v>296</v>
      </c>
      <c r="J179" s="26">
        <v>68000</v>
      </c>
      <c r="K179" s="27">
        <v>4</v>
      </c>
      <c r="L179" s="26">
        <f>ListaDeInventario[[#This Row],[Precio por unidad]]*ListaDeInventario[[#This Row],[Cantidad en existencias]]</f>
        <v>272000</v>
      </c>
      <c r="M179" s="27"/>
      <c r="N179" s="27">
        <v>395</v>
      </c>
      <c r="O179" s="11" t="s">
        <v>575</v>
      </c>
      <c r="P179" s="13" t="s">
        <v>554</v>
      </c>
      <c r="Q179" s="13" t="s">
        <v>383</v>
      </c>
      <c r="R179" s="28"/>
    </row>
    <row r="180" spans="2:18" ht="30" customHeight="1" x14ac:dyDescent="0.25">
      <c r="B180" s="24">
        <f>IFERROR((ListaDeInventario[[#This Row],[Cantidad en existencias]]&lt;=ListaDeInventario[[#This Row],[Stock critico]])*(ListaDeInventario[[#This Row],[subdivision]]="")*valResaltado,0)</f>
        <v>0</v>
      </c>
      <c r="C180" s="8" t="s">
        <v>433</v>
      </c>
      <c r="D180" s="8" t="s">
        <v>381</v>
      </c>
      <c r="E180" s="22" t="s">
        <v>399</v>
      </c>
      <c r="F180" s="8" t="s">
        <v>364</v>
      </c>
      <c r="G180" s="22" t="s">
        <v>388</v>
      </c>
      <c r="H180" s="8" t="s">
        <v>97</v>
      </c>
      <c r="I180" s="8" t="s">
        <v>296</v>
      </c>
      <c r="J180" s="26">
        <v>98000</v>
      </c>
      <c r="K180" s="27">
        <v>10</v>
      </c>
      <c r="L180" s="26">
        <f>ListaDeInventario[[#This Row],[Precio por unidad]]*ListaDeInventario[[#This Row],[Cantidad en existencias]]</f>
        <v>980000</v>
      </c>
      <c r="M180" s="27"/>
      <c r="N180" s="27">
        <v>395</v>
      </c>
      <c r="O180" s="11" t="s">
        <v>575</v>
      </c>
      <c r="P180" s="13" t="s">
        <v>554</v>
      </c>
      <c r="Q180" s="13" t="s">
        <v>383</v>
      </c>
      <c r="R180" s="28"/>
    </row>
    <row r="181" spans="2:18" ht="30" customHeight="1" x14ac:dyDescent="0.25">
      <c r="B181" s="24">
        <f>IFERROR((ListaDeInventario[[#This Row],[Cantidad en existencias]]&lt;=ListaDeInventario[[#This Row],[Stock critico]])*(ListaDeInventario[[#This Row],[subdivision]]="")*valResaltado,0)</f>
        <v>0</v>
      </c>
      <c r="C181" s="8" t="s">
        <v>434</v>
      </c>
      <c r="D181" s="8" t="s">
        <v>381</v>
      </c>
      <c r="E181" s="22" t="s">
        <v>400</v>
      </c>
      <c r="F181" s="8" t="s">
        <v>365</v>
      </c>
      <c r="G181" s="22" t="s">
        <v>401</v>
      </c>
      <c r="H181" s="8" t="s">
        <v>97</v>
      </c>
      <c r="I181" s="8" t="s">
        <v>296</v>
      </c>
      <c r="J181" s="26">
        <v>85000</v>
      </c>
      <c r="K181" s="27">
        <v>2</v>
      </c>
      <c r="L181" s="26">
        <f>ListaDeInventario[[#This Row],[Precio por unidad]]*ListaDeInventario[[#This Row],[Cantidad en existencias]]</f>
        <v>170000</v>
      </c>
      <c r="M181" s="27"/>
      <c r="N181" s="27">
        <v>395</v>
      </c>
      <c r="O181" s="11" t="s">
        <v>575</v>
      </c>
      <c r="P181" s="13" t="s">
        <v>554</v>
      </c>
      <c r="Q181" s="13" t="s">
        <v>383</v>
      </c>
      <c r="R181" s="28"/>
    </row>
    <row r="182" spans="2:18" ht="30" customHeight="1" x14ac:dyDescent="0.25">
      <c r="B182" s="24">
        <f>IFERROR((ListaDeInventario[[#This Row],[Cantidad en existencias]]&lt;=ListaDeInventario[[#This Row],[Stock critico]])*(ListaDeInventario[[#This Row],[subdivision]]="")*valResaltado,0)</f>
        <v>0</v>
      </c>
      <c r="C182" s="8" t="s">
        <v>435</v>
      </c>
      <c r="D182" s="8" t="s">
        <v>381</v>
      </c>
      <c r="E182" s="22" t="s">
        <v>384</v>
      </c>
      <c r="F182" s="8" t="s">
        <v>366</v>
      </c>
      <c r="G182" s="22" t="s">
        <v>385</v>
      </c>
      <c r="H182" s="8" t="s">
        <v>97</v>
      </c>
      <c r="I182" s="8" t="s">
        <v>296</v>
      </c>
      <c r="J182" s="26">
        <v>53000</v>
      </c>
      <c r="K182" s="27">
        <v>8</v>
      </c>
      <c r="L182" s="26">
        <f>ListaDeInventario[[#This Row],[Precio por unidad]]*ListaDeInventario[[#This Row],[Cantidad en existencias]]</f>
        <v>424000</v>
      </c>
      <c r="M182" s="27">
        <v>2</v>
      </c>
      <c r="N182" s="27">
        <v>395</v>
      </c>
      <c r="O182" s="11" t="s">
        <v>575</v>
      </c>
      <c r="P182" s="13" t="s">
        <v>554</v>
      </c>
      <c r="Q182" s="13" t="s">
        <v>383</v>
      </c>
      <c r="R182" s="28"/>
    </row>
    <row r="183" spans="2:18" ht="30" customHeight="1" x14ac:dyDescent="0.25">
      <c r="B183" s="24">
        <f>IFERROR((ListaDeInventario[[#This Row],[Cantidad en existencias]]&lt;=ListaDeInventario[[#This Row],[Stock critico]])*(ListaDeInventario[[#This Row],[subdivision]]="")*valResaltado,0)</f>
        <v>0</v>
      </c>
      <c r="C183" s="8" t="s">
        <v>436</v>
      </c>
      <c r="D183" s="8" t="s">
        <v>381</v>
      </c>
      <c r="E183" s="22" t="s">
        <v>386</v>
      </c>
      <c r="F183" s="8" t="s">
        <v>367</v>
      </c>
      <c r="G183" s="22" t="s">
        <v>385</v>
      </c>
      <c r="H183" s="8" t="s">
        <v>97</v>
      </c>
      <c r="I183" s="8" t="s">
        <v>296</v>
      </c>
      <c r="J183" s="26">
        <v>32700</v>
      </c>
      <c r="K183" s="27">
        <v>5</v>
      </c>
      <c r="L183" s="26">
        <f>ListaDeInventario[[#This Row],[Precio por unidad]]*ListaDeInventario[[#This Row],[Cantidad en existencias]]</f>
        <v>163500</v>
      </c>
      <c r="M183" s="27">
        <v>2</v>
      </c>
      <c r="N183" s="27">
        <v>395</v>
      </c>
      <c r="O183" s="11" t="s">
        <v>575</v>
      </c>
      <c r="P183" s="13" t="s">
        <v>554</v>
      </c>
      <c r="Q183" s="13" t="s">
        <v>383</v>
      </c>
      <c r="R183" s="28"/>
    </row>
    <row r="184" spans="2:18" ht="30" customHeight="1" x14ac:dyDescent="0.25">
      <c r="B184" s="24">
        <f>IFERROR((ListaDeInventario[[#This Row],[Cantidad en existencias]]&lt;=ListaDeInventario[[#This Row],[Stock critico]])*(ListaDeInventario[[#This Row],[subdivision]]="")*valResaltado,0)</f>
        <v>0</v>
      </c>
      <c r="C184" s="8" t="s">
        <v>437</v>
      </c>
      <c r="D184" s="8" t="s">
        <v>381</v>
      </c>
      <c r="E184" s="22" t="s">
        <v>403</v>
      </c>
      <c r="F184" s="8" t="s">
        <v>368</v>
      </c>
      <c r="G184" s="22" t="s">
        <v>393</v>
      </c>
      <c r="H184" s="8" t="s">
        <v>97</v>
      </c>
      <c r="I184" s="8" t="s">
        <v>296</v>
      </c>
      <c r="J184" s="26">
        <v>73900</v>
      </c>
      <c r="K184" s="27">
        <v>25</v>
      </c>
      <c r="L184" s="26">
        <f>ListaDeInventario[[#This Row],[Precio por unidad]]*ListaDeInventario[[#This Row],[Cantidad en existencias]]</f>
        <v>1847500</v>
      </c>
      <c r="M184" s="27"/>
      <c r="N184" s="27">
        <v>395</v>
      </c>
      <c r="O184" s="11" t="s">
        <v>575</v>
      </c>
      <c r="P184" s="13" t="s">
        <v>554</v>
      </c>
      <c r="Q184" s="13" t="s">
        <v>383</v>
      </c>
      <c r="R184" s="28"/>
    </row>
    <row r="185" spans="2:18" ht="30" customHeight="1" x14ac:dyDescent="0.25">
      <c r="B185" s="24">
        <f>IFERROR((ListaDeInventario[[#This Row],[Cantidad en existencias]]&lt;=ListaDeInventario[[#This Row],[Stock critico]])*(ListaDeInventario[[#This Row],[subdivision]]="")*valResaltado,0)</f>
        <v>0</v>
      </c>
      <c r="C185" s="8" t="s">
        <v>438</v>
      </c>
      <c r="D185" s="8" t="s">
        <v>381</v>
      </c>
      <c r="E185" s="22" t="s">
        <v>394</v>
      </c>
      <c r="F185" s="8" t="s">
        <v>369</v>
      </c>
      <c r="G185" s="22" t="s">
        <v>393</v>
      </c>
      <c r="H185" s="8" t="s">
        <v>97</v>
      </c>
      <c r="I185" s="8" t="s">
        <v>296</v>
      </c>
      <c r="J185" s="26">
        <v>105000</v>
      </c>
      <c r="K185" s="27">
        <v>3</v>
      </c>
      <c r="L185" s="26">
        <f>ListaDeInventario[[#This Row],[Precio por unidad]]*ListaDeInventario[[#This Row],[Cantidad en existencias]]</f>
        <v>315000</v>
      </c>
      <c r="M185" s="27">
        <v>2</v>
      </c>
      <c r="N185" s="27">
        <v>395</v>
      </c>
      <c r="O185" s="11" t="s">
        <v>575</v>
      </c>
      <c r="P185" s="13" t="s">
        <v>554</v>
      </c>
      <c r="Q185" s="13" t="s">
        <v>383</v>
      </c>
      <c r="R185" s="28"/>
    </row>
    <row r="186" spans="2:18" ht="30" customHeight="1" x14ac:dyDescent="0.25">
      <c r="B186" s="24">
        <f>IFERROR((ListaDeInventario[[#This Row],[Cantidad en existencias]]&lt;=ListaDeInventario[[#This Row],[Stock critico]])*(ListaDeInventario[[#This Row],[subdivision]]="")*valResaltado,0)</f>
        <v>0</v>
      </c>
      <c r="C186" s="8" t="s">
        <v>439</v>
      </c>
      <c r="D186" s="8" t="s">
        <v>381</v>
      </c>
      <c r="E186" s="22" t="s">
        <v>402</v>
      </c>
      <c r="F186" s="8" t="s">
        <v>370</v>
      </c>
      <c r="G186" s="22" t="s">
        <v>393</v>
      </c>
      <c r="H186" s="8" t="s">
        <v>97</v>
      </c>
      <c r="I186" s="8" t="s">
        <v>296</v>
      </c>
      <c r="J186" s="26">
        <v>78600</v>
      </c>
      <c r="K186" s="27">
        <v>28</v>
      </c>
      <c r="L186" s="26">
        <f>ListaDeInventario[[#This Row],[Precio por unidad]]*ListaDeInventario[[#This Row],[Cantidad en existencias]]</f>
        <v>2200800</v>
      </c>
      <c r="M186" s="27"/>
      <c r="N186" s="27">
        <v>395</v>
      </c>
      <c r="O186" s="11" t="s">
        <v>575</v>
      </c>
      <c r="P186" s="13" t="s">
        <v>554</v>
      </c>
      <c r="Q186" s="13" t="s">
        <v>383</v>
      </c>
      <c r="R186" s="28"/>
    </row>
    <row r="187" spans="2:18" ht="30" customHeight="1" x14ac:dyDescent="0.25">
      <c r="B187" s="24">
        <f>IFERROR((ListaDeInventario[[#This Row],[Cantidad en existencias]]&lt;=ListaDeInventario[[#This Row],[Stock critico]])*(ListaDeInventario[[#This Row],[subdivision]]="")*valResaltado,0)</f>
        <v>0</v>
      </c>
      <c r="C187" s="8" t="s">
        <v>440</v>
      </c>
      <c r="D187" s="8" t="s">
        <v>381</v>
      </c>
      <c r="E187" s="22" t="s">
        <v>404</v>
      </c>
      <c r="F187" s="8" t="s">
        <v>371</v>
      </c>
      <c r="G187" s="22" t="s">
        <v>398</v>
      </c>
      <c r="H187" s="8" t="s">
        <v>97</v>
      </c>
      <c r="I187" s="8" t="s">
        <v>296</v>
      </c>
      <c r="J187" s="26"/>
      <c r="K187" s="27">
        <v>5</v>
      </c>
      <c r="L187" s="26">
        <f>ListaDeInventario[[#This Row],[Precio por unidad]]*ListaDeInventario[[#This Row],[Cantidad en existencias]]</f>
        <v>0</v>
      </c>
      <c r="M187" s="27"/>
      <c r="N187" s="27">
        <v>395</v>
      </c>
      <c r="O187" s="11" t="s">
        <v>575</v>
      </c>
      <c r="P187" s="13" t="s">
        <v>554</v>
      </c>
      <c r="Q187" s="13" t="s">
        <v>383</v>
      </c>
      <c r="R187" s="28"/>
    </row>
    <row r="188" spans="2:18" ht="30" customHeight="1" x14ac:dyDescent="0.25">
      <c r="B188" s="24">
        <f>IFERROR((ListaDeInventario[[#This Row],[Cantidad en existencias]]&lt;=ListaDeInventario[[#This Row],[Stock critico]])*(ListaDeInventario[[#This Row],[subdivision]]="")*valResaltado,0)</f>
        <v>0</v>
      </c>
      <c r="C188" s="8" t="s">
        <v>441</v>
      </c>
      <c r="D188" s="8" t="s">
        <v>381</v>
      </c>
      <c r="E188" s="22" t="s">
        <v>403</v>
      </c>
      <c r="F188" s="8" t="s">
        <v>372</v>
      </c>
      <c r="G188" s="22" t="s">
        <v>401</v>
      </c>
      <c r="H188" s="8" t="s">
        <v>97</v>
      </c>
      <c r="I188" s="8" t="s">
        <v>296</v>
      </c>
      <c r="J188" s="26">
        <v>5800</v>
      </c>
      <c r="K188" s="27">
        <v>10</v>
      </c>
      <c r="L188" s="26">
        <f>ListaDeInventario[[#This Row],[Precio por unidad]]*ListaDeInventario[[#This Row],[Cantidad en existencias]]</f>
        <v>58000</v>
      </c>
      <c r="M188" s="27"/>
      <c r="N188" s="27">
        <v>395</v>
      </c>
      <c r="O188" s="11" t="s">
        <v>575</v>
      </c>
      <c r="P188" s="13" t="s">
        <v>554</v>
      </c>
      <c r="Q188" s="13" t="s">
        <v>383</v>
      </c>
      <c r="R188" s="28"/>
    </row>
    <row r="189" spans="2:18" ht="30" customHeight="1" x14ac:dyDescent="0.25">
      <c r="B189" s="24">
        <f>IFERROR((ListaDeInventario[[#This Row],[Cantidad en existencias]]&lt;=ListaDeInventario[[#This Row],[Stock critico]])*(ListaDeInventario[[#This Row],[subdivision]]="")*valResaltado,0)</f>
        <v>0</v>
      </c>
      <c r="C189" s="8" t="s">
        <v>442</v>
      </c>
      <c r="D189" s="8" t="s">
        <v>381</v>
      </c>
      <c r="E189" s="22" t="s">
        <v>403</v>
      </c>
      <c r="F189" s="8" t="s">
        <v>373</v>
      </c>
      <c r="G189" s="22" t="s">
        <v>401</v>
      </c>
      <c r="H189" s="8" t="s">
        <v>97</v>
      </c>
      <c r="I189" s="8" t="s">
        <v>296</v>
      </c>
      <c r="J189" s="26">
        <v>81500</v>
      </c>
      <c r="K189" s="27">
        <v>4</v>
      </c>
      <c r="L189" s="26">
        <f>ListaDeInventario[[#This Row],[Precio por unidad]]*ListaDeInventario[[#This Row],[Cantidad en existencias]]</f>
        <v>326000</v>
      </c>
      <c r="M189" s="27"/>
      <c r="N189" s="27">
        <v>395</v>
      </c>
      <c r="O189" s="11" t="s">
        <v>575</v>
      </c>
      <c r="P189" s="13" t="s">
        <v>554</v>
      </c>
      <c r="Q189" s="13" t="s">
        <v>383</v>
      </c>
      <c r="R189" s="28"/>
    </row>
    <row r="190" spans="2:18" ht="30" customHeight="1" x14ac:dyDescent="0.25">
      <c r="B190" s="24">
        <f>IFERROR((ListaDeInventario[[#This Row],[Cantidad en existencias]]&lt;=ListaDeInventario[[#This Row],[Stock critico]])*(ListaDeInventario[[#This Row],[subdivision]]="")*valResaltado,0)</f>
        <v>0</v>
      </c>
      <c r="C190" s="8" t="s">
        <v>443</v>
      </c>
      <c r="D190" s="8" t="s">
        <v>381</v>
      </c>
      <c r="E190" s="22" t="s">
        <v>403</v>
      </c>
      <c r="F190" s="8" t="s">
        <v>374</v>
      </c>
      <c r="G190" s="22" t="s">
        <v>401</v>
      </c>
      <c r="H190" s="8" t="s">
        <v>97</v>
      </c>
      <c r="I190" s="8" t="s">
        <v>296</v>
      </c>
      <c r="J190" s="26"/>
      <c r="K190" s="27">
        <v>1</v>
      </c>
      <c r="L190" s="26">
        <f>ListaDeInventario[[#This Row],[Precio por unidad]]*ListaDeInventario[[#This Row],[Cantidad en existencias]]</f>
        <v>0</v>
      </c>
      <c r="M190" s="27"/>
      <c r="N190" s="27">
        <v>395</v>
      </c>
      <c r="O190" s="11" t="s">
        <v>575</v>
      </c>
      <c r="P190" s="13" t="s">
        <v>554</v>
      </c>
      <c r="Q190" s="13" t="s">
        <v>383</v>
      </c>
      <c r="R190" s="28"/>
    </row>
    <row r="191" spans="2:18" ht="30" customHeight="1" x14ac:dyDescent="0.25">
      <c r="B191" s="24">
        <f>IFERROR((ListaDeInventario[[#This Row],[Cantidad en existencias]]&lt;=ListaDeInventario[[#This Row],[Stock critico]])*(ListaDeInventario[[#This Row],[subdivision]]="")*valResaltado,0)</f>
        <v>0</v>
      </c>
      <c r="C191" s="8" t="s">
        <v>444</v>
      </c>
      <c r="D191" s="8" t="s">
        <v>381</v>
      </c>
      <c r="E191" s="22" t="s">
        <v>392</v>
      </c>
      <c r="F191" s="8" t="s">
        <v>375</v>
      </c>
      <c r="G191" s="22" t="s">
        <v>388</v>
      </c>
      <c r="H191" s="8" t="s">
        <v>97</v>
      </c>
      <c r="I191" s="8" t="s">
        <v>296</v>
      </c>
      <c r="J191" s="26">
        <v>65000</v>
      </c>
      <c r="K191" s="27">
        <v>4</v>
      </c>
      <c r="L191" s="26">
        <f>ListaDeInventario[[#This Row],[Precio por unidad]]*ListaDeInventario[[#This Row],[Cantidad en existencias]]</f>
        <v>260000</v>
      </c>
      <c r="M191" s="27">
        <v>2</v>
      </c>
      <c r="N191" s="27">
        <v>395</v>
      </c>
      <c r="O191" s="11" t="s">
        <v>575</v>
      </c>
      <c r="P191" s="13" t="s">
        <v>554</v>
      </c>
      <c r="Q191" s="13" t="s">
        <v>383</v>
      </c>
      <c r="R191" s="28"/>
    </row>
    <row r="192" spans="2:18" ht="30" customHeight="1" x14ac:dyDescent="0.25">
      <c r="B192" s="24">
        <f>IFERROR((ListaDeInventario[[#This Row],[Cantidad en existencias]]&lt;=ListaDeInventario[[#This Row],[Stock critico]])*(ListaDeInventario[[#This Row],[subdivision]]="")*valResaltado,0)</f>
        <v>0</v>
      </c>
      <c r="C192" s="8" t="s">
        <v>445</v>
      </c>
      <c r="D192" s="8" t="s">
        <v>381</v>
      </c>
      <c r="E192" s="22" t="s">
        <v>405</v>
      </c>
      <c r="F192" s="8" t="s">
        <v>376</v>
      </c>
      <c r="G192" s="22" t="s">
        <v>401</v>
      </c>
      <c r="H192" s="8" t="s">
        <v>97</v>
      </c>
      <c r="I192" s="8" t="s">
        <v>296</v>
      </c>
      <c r="J192" s="26">
        <v>38000</v>
      </c>
      <c r="K192" s="27">
        <v>6</v>
      </c>
      <c r="L192" s="26">
        <f>ListaDeInventario[[#This Row],[Precio por unidad]]*ListaDeInventario[[#This Row],[Cantidad en existencias]]</f>
        <v>228000</v>
      </c>
      <c r="M192" s="27"/>
      <c r="N192" s="27">
        <v>395</v>
      </c>
      <c r="O192" s="11" t="s">
        <v>575</v>
      </c>
      <c r="P192" s="13" t="s">
        <v>554</v>
      </c>
      <c r="Q192" s="13" t="s">
        <v>383</v>
      </c>
      <c r="R192" s="28"/>
    </row>
    <row r="193" spans="2:18" ht="30" customHeight="1" x14ac:dyDescent="0.25">
      <c r="B193" s="24">
        <f>IFERROR((ListaDeInventario[[#This Row],[Cantidad en existencias]]&lt;=ListaDeInventario[[#This Row],[Stock critico]])*(ListaDeInventario[[#This Row],[subdivision]]="")*valResaltado,0)</f>
        <v>0</v>
      </c>
      <c r="C193" s="8" t="s">
        <v>446</v>
      </c>
      <c r="D193" s="8" t="s">
        <v>381</v>
      </c>
      <c r="E193" s="22" t="s">
        <v>402</v>
      </c>
      <c r="F193" s="8" t="s">
        <v>377</v>
      </c>
      <c r="G193" s="22" t="s">
        <v>393</v>
      </c>
      <c r="H193" s="8" t="s">
        <v>97</v>
      </c>
      <c r="I193" s="8" t="s">
        <v>304</v>
      </c>
      <c r="J193" s="26"/>
      <c r="K193" s="27">
        <v>2</v>
      </c>
      <c r="L193" s="26">
        <f>ListaDeInventario[[#This Row],[Precio por unidad]]*ListaDeInventario[[#This Row],[Cantidad en existencias]]</f>
        <v>0</v>
      </c>
      <c r="M193" s="27"/>
      <c r="N193" s="27">
        <v>395</v>
      </c>
      <c r="O193" s="11" t="s">
        <v>575</v>
      </c>
      <c r="P193" s="13" t="s">
        <v>554</v>
      </c>
      <c r="Q193" s="13" t="s">
        <v>383</v>
      </c>
      <c r="R193" s="28"/>
    </row>
    <row r="194" spans="2:18" ht="30" customHeight="1" x14ac:dyDescent="0.25">
      <c r="B194" s="24">
        <f>IFERROR((ListaDeInventario[[#This Row],[Cantidad en existencias]]&lt;=ListaDeInventario[[#This Row],[Stock critico]])*(ListaDeInventario[[#This Row],[subdivision]]="")*valResaltado,0)</f>
        <v>0</v>
      </c>
      <c r="C194" s="8" t="s">
        <v>447</v>
      </c>
      <c r="D194" s="8" t="s">
        <v>381</v>
      </c>
      <c r="E194" s="22" t="s">
        <v>402</v>
      </c>
      <c r="F194" s="8" t="s">
        <v>378</v>
      </c>
      <c r="G194" s="22" t="s">
        <v>393</v>
      </c>
      <c r="H194" s="8" t="s">
        <v>97</v>
      </c>
      <c r="I194" s="8" t="s">
        <v>304</v>
      </c>
      <c r="J194" s="26"/>
      <c r="K194" s="27">
        <v>6</v>
      </c>
      <c r="L194" s="26">
        <f>ListaDeInventario[[#This Row],[Precio por unidad]]*ListaDeInventario[[#This Row],[Cantidad en existencias]]</f>
        <v>0</v>
      </c>
      <c r="M194" s="27"/>
      <c r="N194" s="27">
        <v>395</v>
      </c>
      <c r="O194" s="11" t="s">
        <v>575</v>
      </c>
      <c r="P194" s="13" t="s">
        <v>554</v>
      </c>
      <c r="Q194" s="13" t="s">
        <v>383</v>
      </c>
      <c r="R194" s="28"/>
    </row>
    <row r="195" spans="2:18" ht="30" customHeight="1" x14ac:dyDescent="0.25">
      <c r="B195" s="24">
        <f>IFERROR((ListaDeInventario[[#This Row],[Cantidad en existencias]]&lt;=ListaDeInventario[[#This Row],[Stock critico]])*(ListaDeInventario[[#This Row],[subdivision]]="")*valResaltado,0)</f>
        <v>0</v>
      </c>
      <c r="C195" s="8" t="s">
        <v>448</v>
      </c>
      <c r="D195" s="8" t="s">
        <v>406</v>
      </c>
      <c r="E195" s="22" t="s">
        <v>403</v>
      </c>
      <c r="F195" s="8" t="s">
        <v>379</v>
      </c>
      <c r="G195" s="22" t="s">
        <v>401</v>
      </c>
      <c r="H195" s="8" t="s">
        <v>97</v>
      </c>
      <c r="I195" s="8" t="s">
        <v>304</v>
      </c>
      <c r="J195" s="26">
        <v>70000</v>
      </c>
      <c r="K195" s="27">
        <v>7</v>
      </c>
      <c r="L195" s="26">
        <f>ListaDeInventario[[#This Row],[Precio por unidad]]*ListaDeInventario[[#This Row],[Cantidad en existencias]]</f>
        <v>490000</v>
      </c>
      <c r="M195" s="27"/>
      <c r="N195" s="27">
        <v>395</v>
      </c>
      <c r="O195" s="11" t="s">
        <v>575</v>
      </c>
      <c r="P195" s="13" t="s">
        <v>554</v>
      </c>
      <c r="Q195" s="13" t="s">
        <v>383</v>
      </c>
      <c r="R195" s="28"/>
    </row>
    <row r="196" spans="2:18" ht="30" customHeight="1" x14ac:dyDescent="0.25">
      <c r="B196" s="24">
        <f>IFERROR((ListaDeInventario[[#This Row],[Cantidad en existencias]]&lt;=ListaDeInventario[[#This Row],[Stock critico]])*(ListaDeInventario[[#This Row],[subdivision]]="")*valResaltado,0)</f>
        <v>0</v>
      </c>
      <c r="C196" s="8" t="s">
        <v>486</v>
      </c>
      <c r="D196" s="8"/>
      <c r="E196" s="22" t="s">
        <v>407</v>
      </c>
      <c r="F196" s="8" t="s">
        <v>380</v>
      </c>
      <c r="G196" s="22" t="s">
        <v>393</v>
      </c>
      <c r="H196" s="8" t="s">
        <v>97</v>
      </c>
      <c r="I196" s="8" t="s">
        <v>408</v>
      </c>
      <c r="J196" s="26"/>
      <c r="K196" s="27">
        <v>2</v>
      </c>
      <c r="L196" s="26">
        <f>ListaDeInventario[[#This Row],[Precio por unidad]]*ListaDeInventario[[#This Row],[Cantidad en existencias]]</f>
        <v>0</v>
      </c>
      <c r="M196" s="27"/>
      <c r="N196" s="27">
        <v>395</v>
      </c>
      <c r="O196" s="11" t="s">
        <v>575</v>
      </c>
      <c r="P196" s="13" t="s">
        <v>554</v>
      </c>
      <c r="Q196" s="13" t="s">
        <v>383</v>
      </c>
      <c r="R196" s="28"/>
    </row>
    <row r="197" spans="2:18" ht="30" customHeight="1" x14ac:dyDescent="0.25">
      <c r="B197" s="24">
        <f>IFERROR((ListaDeInventario[[#This Row],[Cantidad en existencias]]&lt;=ListaDeInventario[[#This Row],[Stock critico]])*(ListaDeInventario[[#This Row],[subdivision]]="")*valResaltado,0)</f>
        <v>0</v>
      </c>
      <c r="C197" s="8" t="s">
        <v>487</v>
      </c>
      <c r="D197" s="8" t="s">
        <v>381</v>
      </c>
      <c r="E197" s="25" t="s">
        <v>451</v>
      </c>
      <c r="F197" s="8" t="s">
        <v>452</v>
      </c>
      <c r="G197" s="22" t="s">
        <v>388</v>
      </c>
      <c r="H197" s="8" t="s">
        <v>97</v>
      </c>
      <c r="I197" s="8" t="s">
        <v>296</v>
      </c>
      <c r="J197" s="26">
        <v>2350</v>
      </c>
      <c r="K197" s="11">
        <v>36</v>
      </c>
      <c r="L197" s="26">
        <f>ListaDeInventario[[#This Row],[Precio por unidad]]*ListaDeInventario[[#This Row],[Cantidad en existencias]]</f>
        <v>84600</v>
      </c>
      <c r="M197" s="27">
        <v>20</v>
      </c>
      <c r="N197" s="27"/>
      <c r="O197" s="27"/>
      <c r="P197" s="29"/>
      <c r="Q197" s="13"/>
      <c r="R197" s="28"/>
    </row>
    <row r="198" spans="2:18" ht="30" customHeight="1" x14ac:dyDescent="0.25">
      <c r="B198" s="24">
        <f>IFERROR((ListaDeInventario[[#This Row],[Cantidad en existencias]]&lt;=ListaDeInventario[[#This Row],[Stock critico]])*(ListaDeInventario[[#This Row],[subdivision]]="")*valResaltado,0)</f>
        <v>0</v>
      </c>
      <c r="C198" s="8" t="s">
        <v>488</v>
      </c>
      <c r="D198" s="8" t="s">
        <v>381</v>
      </c>
      <c r="E198" s="25" t="s">
        <v>453</v>
      </c>
      <c r="F198" s="8" t="s">
        <v>454</v>
      </c>
      <c r="G198" s="22" t="s">
        <v>388</v>
      </c>
      <c r="H198" s="8" t="s">
        <v>97</v>
      </c>
      <c r="I198" s="8" t="s">
        <v>296</v>
      </c>
      <c r="J198" s="26">
        <v>1780</v>
      </c>
      <c r="K198" s="27">
        <v>36</v>
      </c>
      <c r="L198" s="26">
        <f>ListaDeInventario[[#This Row],[Precio por unidad]]*ListaDeInventario[[#This Row],[Cantidad en existencias]]</f>
        <v>64080</v>
      </c>
      <c r="M198" s="27">
        <v>20</v>
      </c>
      <c r="N198" s="27"/>
      <c r="O198" s="27"/>
      <c r="P198" s="29"/>
      <c r="Q198" s="13"/>
      <c r="R198" s="28"/>
    </row>
    <row r="199" spans="2:18" ht="30" customHeight="1" x14ac:dyDescent="0.25">
      <c r="B199" s="24">
        <f>IFERROR((ListaDeInventario[[#This Row],[Cantidad en existencias]]&lt;=ListaDeInventario[[#This Row],[Stock critico]])*(ListaDeInventario[[#This Row],[subdivision]]="")*valResaltado,0)</f>
        <v>0</v>
      </c>
      <c r="C199" s="8" t="s">
        <v>489</v>
      </c>
      <c r="D199" s="8" t="s">
        <v>381</v>
      </c>
      <c r="E199" s="22" t="s">
        <v>456</v>
      </c>
      <c r="F199" s="8" t="s">
        <v>455</v>
      </c>
      <c r="G199" s="22" t="s">
        <v>388</v>
      </c>
      <c r="H199" s="8" t="s">
        <v>97</v>
      </c>
      <c r="I199" s="8" t="s">
        <v>296</v>
      </c>
      <c r="J199" s="26">
        <v>1335</v>
      </c>
      <c r="K199" s="27">
        <v>112</v>
      </c>
      <c r="L199" s="26">
        <f>ListaDeInventario[[#This Row],[Precio por unidad]]*ListaDeInventario[[#This Row],[Cantidad en existencias]]</f>
        <v>149520</v>
      </c>
      <c r="M199" s="27">
        <v>42</v>
      </c>
      <c r="N199" s="27"/>
      <c r="O199" s="27"/>
      <c r="P199" s="29"/>
      <c r="Q199" s="13"/>
      <c r="R199" s="28"/>
    </row>
    <row r="200" spans="2:18" ht="30" customHeight="1" x14ac:dyDescent="0.25">
      <c r="B200" s="24">
        <f>IFERROR((ListaDeInventario[[#This Row],[Cantidad en existencias]]&lt;=ListaDeInventario[[#This Row],[Stock critico]])*(ListaDeInventario[[#This Row],[subdivision]]="")*valResaltado,0)</f>
        <v>0</v>
      </c>
      <c r="C200" s="8" t="s">
        <v>490</v>
      </c>
      <c r="D200" s="8" t="s">
        <v>381</v>
      </c>
      <c r="E200" s="22" t="s">
        <v>458</v>
      </c>
      <c r="F200" s="8" t="s">
        <v>457</v>
      </c>
      <c r="G200" s="22" t="s">
        <v>388</v>
      </c>
      <c r="H200" s="8" t="s">
        <v>97</v>
      </c>
      <c r="I200" s="8" t="s">
        <v>296</v>
      </c>
      <c r="J200" s="26">
        <v>350</v>
      </c>
      <c r="K200" s="27">
        <v>188</v>
      </c>
      <c r="L200" s="26">
        <f>ListaDeInventario[[#This Row],[Precio por unidad]]*ListaDeInventario[[#This Row],[Cantidad en existencias]]</f>
        <v>65800</v>
      </c>
      <c r="M200" s="27">
        <v>42</v>
      </c>
      <c r="N200" s="27"/>
      <c r="O200" s="27"/>
      <c r="P200" s="29"/>
      <c r="Q200" s="13"/>
      <c r="R200" s="28"/>
    </row>
    <row r="201" spans="2:18" ht="30" customHeight="1" x14ac:dyDescent="0.25">
      <c r="B201" s="24">
        <f>IFERROR((ListaDeInventario[[#This Row],[Cantidad en existencias]]&lt;=ListaDeInventario[[#This Row],[Stock critico]])*(ListaDeInventario[[#This Row],[subdivision]]="")*valResaltado,0)</f>
        <v>0</v>
      </c>
      <c r="C201" s="8" t="s">
        <v>491</v>
      </c>
      <c r="D201" s="8" t="s">
        <v>381</v>
      </c>
      <c r="E201" s="25" t="s">
        <v>459</v>
      </c>
      <c r="F201" s="8" t="s">
        <v>460</v>
      </c>
      <c r="G201" s="22" t="s">
        <v>388</v>
      </c>
      <c r="H201" s="8" t="s">
        <v>97</v>
      </c>
      <c r="I201" s="8" t="s">
        <v>296</v>
      </c>
      <c r="J201" s="26">
        <v>560</v>
      </c>
      <c r="K201" s="27">
        <v>125</v>
      </c>
      <c r="L201" s="26">
        <f>ListaDeInventario[[#This Row],[Precio por unidad]]*ListaDeInventario[[#This Row],[Cantidad en existencias]]</f>
        <v>70000</v>
      </c>
      <c r="M201" s="27">
        <v>42</v>
      </c>
      <c r="N201" s="27"/>
      <c r="O201" s="27"/>
      <c r="P201" s="29"/>
      <c r="Q201" s="13"/>
      <c r="R201" s="28"/>
    </row>
    <row r="202" spans="2:18" ht="30" customHeight="1" x14ac:dyDescent="0.25">
      <c r="B202" s="24">
        <f>IFERROR((ListaDeInventario[[#This Row],[Cantidad en existencias]]&lt;=ListaDeInventario[[#This Row],[Stock critico]])*(ListaDeInventario[[#This Row],[subdivision]]="")*valResaltado,0)</f>
        <v>0</v>
      </c>
      <c r="C202" s="8" t="s">
        <v>492</v>
      </c>
      <c r="D202" s="8" t="s">
        <v>381</v>
      </c>
      <c r="E202" s="25" t="s">
        <v>461</v>
      </c>
      <c r="F202" s="8" t="s">
        <v>462</v>
      </c>
      <c r="G202" s="22" t="s">
        <v>388</v>
      </c>
      <c r="H202" s="8" t="s">
        <v>97</v>
      </c>
      <c r="I202" s="8" t="s">
        <v>296</v>
      </c>
      <c r="J202" s="26">
        <v>2500</v>
      </c>
      <c r="K202" s="27">
        <v>14</v>
      </c>
      <c r="L202" s="26">
        <f>ListaDeInventario[[#This Row],[Precio por unidad]]*ListaDeInventario[[#This Row],[Cantidad en existencias]]</f>
        <v>35000</v>
      </c>
      <c r="M202" s="27">
        <v>7</v>
      </c>
      <c r="N202" s="27"/>
      <c r="O202" s="27"/>
      <c r="P202" s="29"/>
      <c r="Q202" s="13"/>
      <c r="R202" s="28"/>
    </row>
    <row r="203" spans="2:18" ht="30" customHeight="1" x14ac:dyDescent="0.25">
      <c r="B203" s="24">
        <f>IFERROR((ListaDeInventario[[#This Row],[Cantidad en existencias]]&lt;=ListaDeInventario[[#This Row],[Stock critico]])*(ListaDeInventario[[#This Row],[subdivision]]="")*valResaltado,0)</f>
        <v>0</v>
      </c>
      <c r="C203" s="8" t="s">
        <v>493</v>
      </c>
      <c r="D203" s="8" t="s">
        <v>381</v>
      </c>
      <c r="E203" s="22" t="s">
        <v>463</v>
      </c>
      <c r="F203" s="31" t="s">
        <v>464</v>
      </c>
      <c r="G203" s="22" t="s">
        <v>388</v>
      </c>
      <c r="H203" s="8" t="s">
        <v>97</v>
      </c>
      <c r="I203" s="8" t="s">
        <v>296</v>
      </c>
      <c r="J203" s="26">
        <v>1500</v>
      </c>
      <c r="K203" s="27">
        <v>9</v>
      </c>
      <c r="L203" s="26">
        <f>ListaDeInventario[[#This Row],[Precio por unidad]]*ListaDeInventario[[#This Row],[Cantidad en existencias]]</f>
        <v>13500</v>
      </c>
      <c r="M203" s="27">
        <v>7</v>
      </c>
      <c r="N203" s="27"/>
      <c r="O203" s="27"/>
      <c r="P203" s="29"/>
      <c r="Q203" s="13"/>
      <c r="R203" s="28"/>
    </row>
    <row r="204" spans="2:18" ht="30" customHeight="1" x14ac:dyDescent="0.25">
      <c r="B204" s="24">
        <f>IFERROR((ListaDeInventario[[#This Row],[Cantidad en existencias]]&lt;=ListaDeInventario[[#This Row],[Stock critico]])*(ListaDeInventario[[#This Row],[subdivision]]="")*valResaltado,0)</f>
        <v>0</v>
      </c>
      <c r="C204" s="8" t="s">
        <v>494</v>
      </c>
      <c r="D204" s="8" t="s">
        <v>381</v>
      </c>
      <c r="E204" s="22" t="s">
        <v>465</v>
      </c>
      <c r="F204" s="8" t="s">
        <v>466</v>
      </c>
      <c r="G204" s="22" t="s">
        <v>385</v>
      </c>
      <c r="H204" s="8" t="s">
        <v>97</v>
      </c>
      <c r="I204" s="8" t="s">
        <v>296</v>
      </c>
      <c r="J204" s="26"/>
      <c r="K204" s="27">
        <v>5</v>
      </c>
      <c r="L204" s="26">
        <f>ListaDeInventario[[#This Row],[Precio por unidad]]*ListaDeInventario[[#This Row],[Cantidad en existencias]]</f>
        <v>0</v>
      </c>
      <c r="M204" s="27">
        <v>4</v>
      </c>
      <c r="N204" s="27"/>
      <c r="O204" s="27"/>
      <c r="P204" s="29"/>
      <c r="Q204" s="13"/>
      <c r="R204" s="28"/>
    </row>
    <row r="205" spans="2:18" ht="30" customHeight="1" x14ac:dyDescent="0.25">
      <c r="B205" s="24">
        <f>IFERROR((ListaDeInventario[[#This Row],[Cantidad en existencias]]&lt;=ListaDeInventario[[#This Row],[Stock critico]])*(ListaDeInventario[[#This Row],[subdivision]]="")*valResaltado,0)</f>
        <v>0</v>
      </c>
      <c r="C205" s="8" t="s">
        <v>495</v>
      </c>
      <c r="D205" s="8" t="s">
        <v>381</v>
      </c>
      <c r="E205" s="22" t="s">
        <v>465</v>
      </c>
      <c r="F205" s="8" t="s">
        <v>467</v>
      </c>
      <c r="G205" s="22" t="s">
        <v>385</v>
      </c>
      <c r="H205" s="8" t="s">
        <v>97</v>
      </c>
      <c r="I205" s="8" t="s">
        <v>296</v>
      </c>
      <c r="J205" s="26"/>
      <c r="K205" s="27">
        <v>8</v>
      </c>
      <c r="L205" s="26">
        <f>ListaDeInventario[[#This Row],[Precio por unidad]]*ListaDeInventario[[#This Row],[Cantidad en existencias]]</f>
        <v>0</v>
      </c>
      <c r="M205" s="27">
        <v>4</v>
      </c>
      <c r="N205" s="27"/>
      <c r="O205" s="27"/>
      <c r="P205" s="29"/>
      <c r="Q205" s="13"/>
      <c r="R205" s="28"/>
    </row>
    <row r="206" spans="2:18" ht="30" customHeight="1" x14ac:dyDescent="0.25">
      <c r="B206" s="24">
        <f>IFERROR((ListaDeInventario[[#This Row],[Cantidad en existencias]]&lt;=ListaDeInventario[[#This Row],[Stock critico]])*(ListaDeInventario[[#This Row],[subdivision]]="")*valResaltado,0)</f>
        <v>0</v>
      </c>
      <c r="C206" s="8" t="s">
        <v>496</v>
      </c>
      <c r="D206" s="8" t="s">
        <v>381</v>
      </c>
      <c r="E206" s="22" t="s">
        <v>465</v>
      </c>
      <c r="F206" s="8" t="s">
        <v>468</v>
      </c>
      <c r="G206" s="22" t="s">
        <v>385</v>
      </c>
      <c r="H206" s="8" t="s">
        <v>97</v>
      </c>
      <c r="I206" s="8" t="s">
        <v>296</v>
      </c>
      <c r="J206" s="26"/>
      <c r="K206" s="27">
        <v>13</v>
      </c>
      <c r="L206" s="26">
        <f>ListaDeInventario[[#This Row],[Precio por unidad]]*ListaDeInventario[[#This Row],[Cantidad en existencias]]</f>
        <v>0</v>
      </c>
      <c r="M206" s="27">
        <v>4</v>
      </c>
      <c r="N206" s="27"/>
      <c r="O206" s="27"/>
      <c r="P206" s="29"/>
      <c r="Q206" s="13"/>
      <c r="R206" s="28"/>
    </row>
    <row r="207" spans="2:18" ht="30" customHeight="1" x14ac:dyDescent="0.25">
      <c r="B207" s="24">
        <f>IFERROR((ListaDeInventario[[#This Row],[Cantidad en existencias]]&lt;=ListaDeInventario[[#This Row],[Stock critico]])*(ListaDeInventario[[#This Row],[subdivision]]="")*valResaltado,0)</f>
        <v>0</v>
      </c>
      <c r="C207" s="8" t="s">
        <v>497</v>
      </c>
      <c r="D207" s="8" t="s">
        <v>381</v>
      </c>
      <c r="E207" s="22" t="s">
        <v>469</v>
      </c>
      <c r="F207" s="8" t="s">
        <v>470</v>
      </c>
      <c r="G207" s="22" t="s">
        <v>385</v>
      </c>
      <c r="H207" s="8" t="s">
        <v>97</v>
      </c>
      <c r="I207" s="8" t="s">
        <v>296</v>
      </c>
      <c r="J207" s="26">
        <v>765</v>
      </c>
      <c r="K207" s="27">
        <v>100</v>
      </c>
      <c r="L207" s="26">
        <f>ListaDeInventario[[#This Row],[Precio por unidad]]*ListaDeInventario[[#This Row],[Cantidad en existencias]]</f>
        <v>76500</v>
      </c>
      <c r="M207" s="27">
        <v>32</v>
      </c>
      <c r="N207" s="27"/>
      <c r="O207" s="27"/>
      <c r="P207" s="29"/>
      <c r="Q207" s="13"/>
      <c r="R207" s="28"/>
    </row>
    <row r="208" spans="2:18" ht="30" customHeight="1" x14ac:dyDescent="0.25">
      <c r="B208" s="24">
        <f>IFERROR((ListaDeInventario[[#This Row],[Cantidad en existencias]]&lt;=ListaDeInventario[[#This Row],[Stock critico]])*(ListaDeInventario[[#This Row],[subdivision]]="")*valResaltado,0)</f>
        <v>0</v>
      </c>
      <c r="C208" s="8" t="s">
        <v>498</v>
      </c>
      <c r="D208" s="8" t="s">
        <v>381</v>
      </c>
      <c r="E208" s="22" t="s">
        <v>471</v>
      </c>
      <c r="F208" s="8" t="s">
        <v>472</v>
      </c>
      <c r="G208" s="22" t="s">
        <v>385</v>
      </c>
      <c r="H208" s="8" t="s">
        <v>97</v>
      </c>
      <c r="I208" s="8" t="s">
        <v>296</v>
      </c>
      <c r="J208" s="26">
        <v>780</v>
      </c>
      <c r="K208" s="27">
        <v>0</v>
      </c>
      <c r="L208" s="26">
        <f>ListaDeInventario[[#This Row],[Precio por unidad]]*ListaDeInventario[[#This Row],[Cantidad en existencias]]</f>
        <v>0</v>
      </c>
      <c r="M208" s="27">
        <v>10</v>
      </c>
      <c r="N208" s="27"/>
      <c r="O208" s="27"/>
      <c r="P208" s="29"/>
      <c r="Q208" s="13"/>
      <c r="R208" s="28"/>
    </row>
    <row r="209" spans="2:18" ht="30" customHeight="1" x14ac:dyDescent="0.25">
      <c r="B209" s="24">
        <f>IFERROR((ListaDeInventario[[#This Row],[Cantidad en existencias]]&lt;=ListaDeInventario[[#This Row],[Stock critico]])*(ListaDeInventario[[#This Row],[subdivision]]="")*valResaltado,0)</f>
        <v>0</v>
      </c>
      <c r="C209" s="8" t="s">
        <v>499</v>
      </c>
      <c r="D209" s="8" t="s">
        <v>381</v>
      </c>
      <c r="E209" s="22" t="s">
        <v>473</v>
      </c>
      <c r="F209" s="8" t="s">
        <v>474</v>
      </c>
      <c r="G209" s="22" t="s">
        <v>385</v>
      </c>
      <c r="H209" s="8" t="s">
        <v>97</v>
      </c>
      <c r="I209" s="8" t="s">
        <v>296</v>
      </c>
      <c r="J209" s="26">
        <v>783</v>
      </c>
      <c r="K209" s="27">
        <v>0</v>
      </c>
      <c r="L209" s="26">
        <f>ListaDeInventario[[#This Row],[Precio por unidad]]*ListaDeInventario[[#This Row],[Cantidad en existencias]]</f>
        <v>0</v>
      </c>
      <c r="M209" s="27">
        <v>10</v>
      </c>
      <c r="N209" s="27"/>
      <c r="O209" s="27"/>
      <c r="P209" s="29"/>
      <c r="Q209" s="13"/>
      <c r="R209" s="28"/>
    </row>
    <row r="210" spans="2:18" ht="30" customHeight="1" x14ac:dyDescent="0.25">
      <c r="B210" s="24">
        <f>IFERROR((ListaDeInventario[[#This Row],[Cantidad en existencias]]&lt;=ListaDeInventario[[#This Row],[Stock critico]])*(ListaDeInventario[[#This Row],[subdivision]]="")*valResaltado,0)</f>
        <v>0</v>
      </c>
      <c r="C210" s="8" t="s">
        <v>500</v>
      </c>
      <c r="D210" s="8" t="s">
        <v>381</v>
      </c>
      <c r="E210" s="22" t="s">
        <v>475</v>
      </c>
      <c r="F210" s="8" t="s">
        <v>476</v>
      </c>
      <c r="G210" s="22" t="s">
        <v>385</v>
      </c>
      <c r="H210" s="8" t="s">
        <v>97</v>
      </c>
      <c r="I210" s="8" t="s">
        <v>296</v>
      </c>
      <c r="J210" s="26">
        <v>350</v>
      </c>
      <c r="K210" s="27">
        <v>141</v>
      </c>
      <c r="L210" s="26">
        <f>ListaDeInventario[[#This Row],[Precio por unidad]]*ListaDeInventario[[#This Row],[Cantidad en existencias]]</f>
        <v>49350</v>
      </c>
      <c r="M210" s="27">
        <v>50</v>
      </c>
      <c r="N210" s="27"/>
      <c r="O210" s="27"/>
      <c r="P210" s="29"/>
      <c r="Q210" s="13"/>
      <c r="R210" s="28"/>
    </row>
    <row r="211" spans="2:18" ht="30" customHeight="1" x14ac:dyDescent="0.25">
      <c r="B211" s="24">
        <f>IFERROR((ListaDeInventario[[#This Row],[Cantidad en existencias]]&lt;=ListaDeInventario[[#This Row],[Stock critico]])*(ListaDeInventario[[#This Row],[subdivision]]="")*valResaltado,0)</f>
        <v>0</v>
      </c>
      <c r="C211" s="8" t="s">
        <v>501</v>
      </c>
      <c r="D211" s="8" t="s">
        <v>381</v>
      </c>
      <c r="E211" s="22" t="s">
        <v>477</v>
      </c>
      <c r="F211" s="8" t="s">
        <v>478</v>
      </c>
      <c r="G211" s="22" t="s">
        <v>385</v>
      </c>
      <c r="H211" s="8" t="s">
        <v>97</v>
      </c>
      <c r="I211" s="8" t="s">
        <v>296</v>
      </c>
      <c r="J211" s="26"/>
      <c r="K211" s="27">
        <v>18</v>
      </c>
      <c r="L211" s="26">
        <f>ListaDeInventario[[#This Row],[Precio por unidad]]*ListaDeInventario[[#This Row],[Cantidad en existencias]]</f>
        <v>0</v>
      </c>
      <c r="M211" s="27">
        <v>50</v>
      </c>
      <c r="N211" s="27"/>
      <c r="O211" s="27"/>
      <c r="P211" s="29"/>
      <c r="Q211" s="13"/>
      <c r="R211" s="28"/>
    </row>
    <row r="212" spans="2:18" ht="30" customHeight="1" x14ac:dyDescent="0.25">
      <c r="B212" s="24">
        <f>IFERROR((ListaDeInventario[[#This Row],[Cantidad en existencias]]&lt;=ListaDeInventario[[#This Row],[Stock critico]])*(ListaDeInventario[[#This Row],[subdivision]]="")*valResaltado,0)</f>
        <v>0</v>
      </c>
      <c r="C212" s="8" t="s">
        <v>502</v>
      </c>
      <c r="D212" s="8" t="s">
        <v>381</v>
      </c>
      <c r="E212" s="25" t="s">
        <v>479</v>
      </c>
      <c r="F212" s="8" t="s">
        <v>480</v>
      </c>
      <c r="G212" s="22" t="s">
        <v>398</v>
      </c>
      <c r="H212" s="8" t="s">
        <v>97</v>
      </c>
      <c r="I212" s="8" t="s">
        <v>296</v>
      </c>
      <c r="J212" s="26"/>
      <c r="K212" s="27">
        <v>0</v>
      </c>
      <c r="L212" s="26">
        <f>ListaDeInventario[[#This Row],[Precio por unidad]]*ListaDeInventario[[#This Row],[Cantidad en existencias]]</f>
        <v>0</v>
      </c>
      <c r="M212" s="27"/>
      <c r="N212" s="27"/>
      <c r="O212" s="27"/>
      <c r="P212" s="29"/>
      <c r="Q212" s="13"/>
      <c r="R212" s="28"/>
    </row>
    <row r="213" spans="2:18" ht="30" customHeight="1" x14ac:dyDescent="0.25">
      <c r="B213" s="24">
        <f>IFERROR((ListaDeInventario[[#This Row],[Cantidad en existencias]]&lt;=ListaDeInventario[[#This Row],[Stock critico]])*(ListaDeInventario[[#This Row],[subdivision]]="")*valResaltado,0)</f>
        <v>0</v>
      </c>
      <c r="C213" s="8" t="s">
        <v>503</v>
      </c>
      <c r="D213" s="8" t="s">
        <v>381</v>
      </c>
      <c r="E213" s="25" t="s">
        <v>481</v>
      </c>
      <c r="F213" s="8" t="s">
        <v>482</v>
      </c>
      <c r="G213" s="22" t="s">
        <v>398</v>
      </c>
      <c r="H213" s="8" t="s">
        <v>97</v>
      </c>
      <c r="I213" s="8" t="s">
        <v>296</v>
      </c>
      <c r="J213" s="26"/>
      <c r="K213" s="27">
        <v>0</v>
      </c>
      <c r="L213" s="26">
        <f>ListaDeInventario[[#This Row],[Precio por unidad]]*ListaDeInventario[[#This Row],[Cantidad en existencias]]</f>
        <v>0</v>
      </c>
      <c r="M213" s="27"/>
      <c r="N213" s="27"/>
      <c r="O213" s="27"/>
      <c r="P213" s="29"/>
      <c r="Q213" s="13"/>
      <c r="R213" s="28"/>
    </row>
    <row r="214" spans="2:18" ht="30" customHeight="1" x14ac:dyDescent="0.25">
      <c r="B214" s="24">
        <f>IFERROR((ListaDeInventario[[#This Row],[Cantidad en existencias]]&lt;=ListaDeInventario[[#This Row],[Stock critico]])*(ListaDeInventario[[#This Row],[subdivision]]="")*valResaltado,0)</f>
        <v>0</v>
      </c>
      <c r="C214" s="8" t="s">
        <v>510</v>
      </c>
      <c r="D214" s="8" t="s">
        <v>381</v>
      </c>
      <c r="E214" s="22" t="s">
        <v>484</v>
      </c>
      <c r="F214" s="8" t="s">
        <v>483</v>
      </c>
      <c r="G214" s="22" t="s">
        <v>398</v>
      </c>
      <c r="H214" s="8" t="s">
        <v>97</v>
      </c>
      <c r="I214" s="8" t="s">
        <v>296</v>
      </c>
      <c r="J214" s="26"/>
      <c r="K214" s="27">
        <v>20</v>
      </c>
      <c r="L214" s="26">
        <f>ListaDeInventario[[#This Row],[Precio por unidad]]*ListaDeInventario[[#This Row],[Cantidad en existencias]]</f>
        <v>0</v>
      </c>
      <c r="M214" s="27"/>
      <c r="N214" s="27"/>
      <c r="O214" s="27"/>
      <c r="P214" s="29"/>
      <c r="Q214" s="13"/>
      <c r="R214" s="28"/>
    </row>
    <row r="215" spans="2:18" ht="30" customHeight="1" x14ac:dyDescent="0.25">
      <c r="B215" s="24">
        <f>IFERROR((ListaDeInventario[[#This Row],[Cantidad en existencias]]&lt;=ListaDeInventario[[#This Row],[Stock critico]])*(ListaDeInventario[[#This Row],[subdivision]]="")*valResaltado,0)</f>
        <v>0</v>
      </c>
      <c r="C215" s="8" t="s">
        <v>511</v>
      </c>
      <c r="D215" s="8" t="s">
        <v>381</v>
      </c>
      <c r="E215" s="22" t="s">
        <v>469</v>
      </c>
      <c r="F215" s="8" t="s">
        <v>504</v>
      </c>
      <c r="G215" s="22" t="s">
        <v>393</v>
      </c>
      <c r="H215" s="8" t="s">
        <v>97</v>
      </c>
      <c r="I215" s="8" t="s">
        <v>296</v>
      </c>
      <c r="J215" s="26">
        <v>3500</v>
      </c>
      <c r="K215" s="27">
        <v>65</v>
      </c>
      <c r="L215" s="26">
        <f>ListaDeInventario[[#This Row],[Precio por unidad]]*ListaDeInventario[[#This Row],[Cantidad en existencias]]</f>
        <v>227500</v>
      </c>
      <c r="M215" s="27"/>
      <c r="N215" s="27"/>
      <c r="O215" s="27"/>
      <c r="P215" s="29"/>
      <c r="Q215" s="13"/>
      <c r="R215" s="28"/>
    </row>
    <row r="216" spans="2:18" ht="30" customHeight="1" x14ac:dyDescent="0.25">
      <c r="B216" s="24">
        <f>IFERROR((ListaDeInventario[[#This Row],[Cantidad en existencias]]&lt;=ListaDeInventario[[#This Row],[Stock critico]])*(ListaDeInventario[[#This Row],[subdivision]]="")*valResaltado,0)</f>
        <v>0</v>
      </c>
      <c r="C216" s="8" t="s">
        <v>512</v>
      </c>
      <c r="D216" s="8" t="s">
        <v>381</v>
      </c>
      <c r="E216" s="22" t="s">
        <v>473</v>
      </c>
      <c r="F216" s="8" t="s">
        <v>505</v>
      </c>
      <c r="G216" s="22" t="s">
        <v>393</v>
      </c>
      <c r="H216" s="8" t="s">
        <v>97</v>
      </c>
      <c r="I216" s="8" t="s">
        <v>296</v>
      </c>
      <c r="J216" s="26">
        <v>7621</v>
      </c>
      <c r="K216" s="27">
        <v>11</v>
      </c>
      <c r="L216" s="26">
        <f>ListaDeInventario[[#This Row],[Precio por unidad]]*ListaDeInventario[[#This Row],[Cantidad en existencias]]</f>
        <v>83831</v>
      </c>
      <c r="M216" s="27"/>
      <c r="N216" s="27"/>
      <c r="O216" s="27"/>
      <c r="P216" s="29"/>
      <c r="Q216" s="13"/>
      <c r="R216" s="28"/>
    </row>
    <row r="217" spans="2:18" ht="30" customHeight="1" x14ac:dyDescent="0.25">
      <c r="B217" s="24">
        <f>IFERROR((ListaDeInventario[[#This Row],[Cantidad en existencias]]&lt;=ListaDeInventario[[#This Row],[Stock critico]])*(ListaDeInventario[[#This Row],[subdivision]]="")*valResaltado,0)</f>
        <v>0</v>
      </c>
      <c r="C217" s="8" t="s">
        <v>513</v>
      </c>
      <c r="D217" s="8" t="s">
        <v>381</v>
      </c>
      <c r="E217" s="22" t="s">
        <v>506</v>
      </c>
      <c r="F217" s="8" t="s">
        <v>507</v>
      </c>
      <c r="G217" s="22" t="s">
        <v>393</v>
      </c>
      <c r="H217" s="8" t="s">
        <v>97</v>
      </c>
      <c r="I217" s="8" t="s">
        <v>296</v>
      </c>
      <c r="J217" s="26">
        <v>1900</v>
      </c>
      <c r="K217" s="27">
        <v>67</v>
      </c>
      <c r="L217" s="26">
        <f>ListaDeInventario[[#This Row],[Precio por unidad]]*ListaDeInventario[[#This Row],[Cantidad en existencias]]</f>
        <v>127300</v>
      </c>
      <c r="M217" s="27"/>
      <c r="N217" s="27"/>
      <c r="O217" s="32"/>
      <c r="P217" s="29"/>
      <c r="Q217" s="13"/>
      <c r="R217" s="28"/>
    </row>
    <row r="218" spans="2:18" ht="30" customHeight="1" x14ac:dyDescent="0.25">
      <c r="B218" s="24">
        <f>IFERROR((ListaDeInventario[[#This Row],[Cantidad en existencias]]&lt;=ListaDeInventario[[#This Row],[Stock critico]])*(ListaDeInventario[[#This Row],[subdivision]]="")*valResaltado,0)</f>
        <v>0</v>
      </c>
      <c r="C218" s="8" t="s">
        <v>514</v>
      </c>
      <c r="D218" s="8" t="s">
        <v>381</v>
      </c>
      <c r="E218" s="22" t="s">
        <v>508</v>
      </c>
      <c r="F218" s="8" t="s">
        <v>509</v>
      </c>
      <c r="G218" s="22" t="s">
        <v>393</v>
      </c>
      <c r="H218" s="8" t="s">
        <v>97</v>
      </c>
      <c r="I218" s="8" t="s">
        <v>296</v>
      </c>
      <c r="J218" s="26"/>
      <c r="K218" s="27"/>
      <c r="L218" s="26">
        <f>ListaDeInventario[[#This Row],[Precio por unidad]]*ListaDeInventario[[#This Row],[Cantidad en existencias]]</f>
        <v>0</v>
      </c>
      <c r="M218" s="27"/>
      <c r="N218" s="27"/>
      <c r="O218" s="27"/>
      <c r="P218" s="29"/>
      <c r="Q218" s="13"/>
      <c r="R218" s="28"/>
    </row>
    <row r="219" spans="2:18" ht="30" customHeight="1" x14ac:dyDescent="0.25">
      <c r="B219" s="24">
        <f>IFERROR((ListaDeInventario[[#This Row],[Cantidad en existencias]]&lt;=ListaDeInventario[[#This Row],[Stock critico]])*(ListaDeInventario[[#This Row],[subdivision]]="")*valResaltado,0)</f>
        <v>0</v>
      </c>
      <c r="C219" s="8" t="s">
        <v>515</v>
      </c>
      <c r="D219" s="8" t="s">
        <v>381</v>
      </c>
      <c r="E219" s="22" t="s">
        <v>484</v>
      </c>
      <c r="F219" s="8" t="s">
        <v>478</v>
      </c>
      <c r="G219" s="22" t="s">
        <v>393</v>
      </c>
      <c r="H219" s="8" t="s">
        <v>97</v>
      </c>
      <c r="I219" s="8" t="s">
        <v>296</v>
      </c>
      <c r="J219" s="26"/>
      <c r="K219" s="27">
        <v>37</v>
      </c>
      <c r="L219" s="26">
        <f>ListaDeInventario[[#This Row],[Precio por unidad]]*ListaDeInventario[[#This Row],[Cantidad en existencias]]</f>
        <v>0</v>
      </c>
      <c r="M219" s="27"/>
      <c r="N219" s="27"/>
      <c r="O219" s="27"/>
      <c r="P219" s="29"/>
      <c r="Q219" s="13"/>
      <c r="R219" s="28"/>
    </row>
    <row r="220" spans="2:18" ht="30" customHeight="1" x14ac:dyDescent="0.25">
      <c r="B220" s="24">
        <f>IFERROR((ListaDeInventario[[#This Row],[Cantidad en existencias]]&lt;=ListaDeInventario[[#This Row],[Stock critico]])*(ListaDeInventario[[#This Row],[subdivision]]="")*valResaltado,0)</f>
        <v>0</v>
      </c>
      <c r="C220" s="8" t="s">
        <v>516</v>
      </c>
      <c r="D220" s="8" t="s">
        <v>211</v>
      </c>
      <c r="E220" s="22" t="s">
        <v>539</v>
      </c>
      <c r="F220" s="8" t="s">
        <v>540</v>
      </c>
      <c r="G220" s="22" t="s">
        <v>385</v>
      </c>
      <c r="H220" s="8" t="s">
        <v>97</v>
      </c>
      <c r="I220" s="8" t="s">
        <v>296</v>
      </c>
      <c r="J220" s="26">
        <v>0</v>
      </c>
      <c r="K220" s="27">
        <v>10</v>
      </c>
      <c r="L220" s="26">
        <f>ListaDeInventario[[#This Row],[Precio por unidad]]*ListaDeInventario[[#This Row],[Cantidad en existencias]]</f>
        <v>0</v>
      </c>
      <c r="M220" s="27"/>
      <c r="N220" s="27"/>
      <c r="O220" s="27"/>
      <c r="P220" s="29"/>
      <c r="Q220" s="13"/>
      <c r="R220" s="28"/>
    </row>
    <row r="221" spans="2:18" ht="30" customHeight="1" x14ac:dyDescent="0.25">
      <c r="B221" s="24">
        <f>IFERROR((ListaDeInventario[[#This Row],[Cantidad en existencias]]&lt;=ListaDeInventario[[#This Row],[Stock critico]])*(ListaDeInventario[[#This Row],[subdivision]]="")*valResaltado,0)</f>
        <v>0</v>
      </c>
      <c r="C221" s="8" t="s">
        <v>517</v>
      </c>
      <c r="D221" s="8" t="s">
        <v>211</v>
      </c>
      <c r="E221" s="22" t="s">
        <v>465</v>
      </c>
      <c r="F221" s="8" t="s">
        <v>541</v>
      </c>
      <c r="G221" s="22" t="s">
        <v>385</v>
      </c>
      <c r="H221" s="8" t="s">
        <v>97</v>
      </c>
      <c r="I221" s="8" t="s">
        <v>296</v>
      </c>
      <c r="J221" s="26">
        <v>648378</v>
      </c>
      <c r="K221" s="27">
        <v>6</v>
      </c>
      <c r="L221" s="26">
        <f>ListaDeInventario[[#This Row],[Precio por unidad]]*ListaDeInventario[[#This Row],[Cantidad en existencias]]</f>
        <v>3890268</v>
      </c>
      <c r="M221" s="27"/>
      <c r="N221" s="27"/>
      <c r="O221" s="27"/>
      <c r="P221" s="29"/>
      <c r="Q221" s="13"/>
      <c r="R221" s="28"/>
    </row>
    <row r="222" spans="2:18" ht="30" customHeight="1" x14ac:dyDescent="0.25">
      <c r="B222" s="24">
        <f>IFERROR((ListaDeInventario[[#This Row],[Cantidad en existencias]]&lt;=ListaDeInventario[[#This Row],[Stock critico]])*(ListaDeInventario[[#This Row],[subdivision]]="")*valResaltado,0)</f>
        <v>0</v>
      </c>
      <c r="C222" s="8" t="s">
        <v>518</v>
      </c>
      <c r="D222" s="8" t="s">
        <v>211</v>
      </c>
      <c r="E222" s="22" t="s">
        <v>542</v>
      </c>
      <c r="F222" s="8" t="s">
        <v>543</v>
      </c>
      <c r="G222" s="22" t="s">
        <v>385</v>
      </c>
      <c r="H222" s="8" t="s">
        <v>97</v>
      </c>
      <c r="I222" s="8" t="s">
        <v>296</v>
      </c>
      <c r="J222" s="26">
        <v>0</v>
      </c>
      <c r="K222" s="27">
        <v>50</v>
      </c>
      <c r="L222" s="26">
        <f>ListaDeInventario[[#This Row],[Precio por unidad]]*ListaDeInventario[[#This Row],[Cantidad en existencias]]</f>
        <v>0</v>
      </c>
      <c r="M222" s="27"/>
      <c r="N222" s="27"/>
      <c r="O222" s="27"/>
      <c r="P222" s="29"/>
      <c r="Q222" s="13"/>
      <c r="R222" s="28"/>
    </row>
    <row r="223" spans="2:18" ht="30" customHeight="1" x14ac:dyDescent="0.25">
      <c r="B223" s="24">
        <f>IFERROR((ListaDeInventario[[#This Row],[Cantidad en existencias]]&lt;=ListaDeInventario[[#This Row],[Stock critico]])*(ListaDeInventario[[#This Row],[subdivision]]="")*valResaltado,0)</f>
        <v>0</v>
      </c>
      <c r="C223" s="8" t="s">
        <v>519</v>
      </c>
      <c r="D223" s="8" t="s">
        <v>211</v>
      </c>
      <c r="E223" s="22" t="s">
        <v>547</v>
      </c>
      <c r="F223" s="8" t="s">
        <v>544</v>
      </c>
      <c r="G223" s="25"/>
      <c r="H223" s="8" t="s">
        <v>97</v>
      </c>
      <c r="I223" s="8" t="s">
        <v>296</v>
      </c>
      <c r="J223" s="26"/>
      <c r="K223" s="27"/>
      <c r="L223" s="26">
        <f>ListaDeInventario[[#This Row],[Precio por unidad]]*ListaDeInventario[[#This Row],[Cantidad en existencias]]</f>
        <v>0</v>
      </c>
      <c r="M223" s="27"/>
      <c r="N223" s="27"/>
      <c r="O223" s="27"/>
      <c r="P223" s="29"/>
      <c r="Q223" s="13"/>
      <c r="R223" s="28"/>
    </row>
    <row r="224" spans="2:18" ht="30" customHeight="1" x14ac:dyDescent="0.25">
      <c r="B224" s="24">
        <f>IFERROR((ListaDeInventario[[#This Row],[Cantidad en existencias]]&lt;=ListaDeInventario[[#This Row],[Stock critico]])*(ListaDeInventario[[#This Row],[subdivision]]="")*valResaltado,0)</f>
        <v>0</v>
      </c>
      <c r="C224" s="8" t="s">
        <v>520</v>
      </c>
      <c r="D224" s="8" t="s">
        <v>211</v>
      </c>
      <c r="E224" s="22" t="s">
        <v>547</v>
      </c>
      <c r="F224" s="8" t="s">
        <v>545</v>
      </c>
      <c r="G224" s="25"/>
      <c r="H224" s="8" t="s">
        <v>97</v>
      </c>
      <c r="I224" s="8" t="s">
        <v>296</v>
      </c>
      <c r="J224" s="26"/>
      <c r="K224" s="27"/>
      <c r="L224" s="26">
        <f>ListaDeInventario[[#This Row],[Precio por unidad]]*ListaDeInventario[[#This Row],[Cantidad en existencias]]</f>
        <v>0</v>
      </c>
      <c r="M224" s="27"/>
      <c r="N224" s="27"/>
      <c r="O224" s="27"/>
      <c r="P224" s="29"/>
      <c r="Q224" s="13"/>
      <c r="R224" s="28"/>
    </row>
    <row r="225" spans="2:18" ht="30" customHeight="1" x14ac:dyDescent="0.25">
      <c r="B225" s="24">
        <f>IFERROR((ListaDeInventario[[#This Row],[Cantidad en existencias]]&lt;=ListaDeInventario[[#This Row],[Stock critico]])*(ListaDeInventario[[#This Row],[subdivision]]="")*valResaltado,0)</f>
        <v>0</v>
      </c>
      <c r="C225" s="8" t="s">
        <v>521</v>
      </c>
      <c r="D225" s="8" t="s">
        <v>211</v>
      </c>
      <c r="E225" s="22" t="s">
        <v>547</v>
      </c>
      <c r="F225" s="8" t="s">
        <v>546</v>
      </c>
      <c r="G225" s="25"/>
      <c r="H225" s="8" t="s">
        <v>97</v>
      </c>
      <c r="I225" s="8" t="s">
        <v>296</v>
      </c>
      <c r="J225" s="26"/>
      <c r="K225" s="27"/>
      <c r="L225" s="26">
        <f>ListaDeInventario[[#This Row],[Precio por unidad]]*ListaDeInventario[[#This Row],[Cantidad en existencias]]</f>
        <v>0</v>
      </c>
      <c r="M225" s="27"/>
      <c r="N225" s="27"/>
      <c r="O225" s="27"/>
      <c r="P225" s="29"/>
      <c r="Q225" s="13"/>
      <c r="R225" s="28"/>
    </row>
    <row r="226" spans="2:18" ht="30" customHeight="1" x14ac:dyDescent="0.25">
      <c r="B226" s="24">
        <f>IFERROR((ListaDeInventario[[#This Row],[Cantidad en existencias]]&lt;=ListaDeInventario[[#This Row],[Stock critico]])*(ListaDeInventario[[#This Row],[subdivision]]="")*valResaltado,0)</f>
        <v>0</v>
      </c>
      <c r="C226" s="8" t="s">
        <v>522</v>
      </c>
      <c r="D226" s="8"/>
      <c r="E226" s="22" t="s">
        <v>547</v>
      </c>
      <c r="F226" s="8" t="s">
        <v>548</v>
      </c>
      <c r="G226" s="25"/>
      <c r="H226" s="8" t="s">
        <v>97</v>
      </c>
      <c r="I226" s="8" t="s">
        <v>304</v>
      </c>
      <c r="J226" s="26"/>
      <c r="K226" s="27"/>
      <c r="L226" s="26">
        <f>ListaDeInventario[[#This Row],[Precio por unidad]]*ListaDeInventario[[#This Row],[Cantidad en existencias]]</f>
        <v>0</v>
      </c>
      <c r="M226" s="27"/>
      <c r="N226" s="27"/>
      <c r="O226" s="27"/>
      <c r="P226" s="29"/>
      <c r="Q226" s="13"/>
      <c r="R226" s="28"/>
    </row>
    <row r="227" spans="2:18" ht="30" customHeight="1" x14ac:dyDescent="0.25">
      <c r="B227" s="24">
        <f>IFERROR((ListaDeInventario[[#This Row],[Cantidad en existencias]]&lt;=ListaDeInventario[[#This Row],[Stock critico]])*(ListaDeInventario[[#This Row],[subdivision]]="")*valResaltado,0)</f>
        <v>0</v>
      </c>
      <c r="C227" s="8" t="s">
        <v>523</v>
      </c>
      <c r="D227" s="8" t="s">
        <v>555</v>
      </c>
      <c r="E227" s="22" t="s">
        <v>556</v>
      </c>
      <c r="F227" s="8"/>
      <c r="G227" s="22" t="s">
        <v>558</v>
      </c>
      <c r="H227" s="8" t="s">
        <v>97</v>
      </c>
      <c r="I227" s="8" t="s">
        <v>557</v>
      </c>
      <c r="J227" s="26">
        <v>13600</v>
      </c>
      <c r="K227" s="27">
        <v>1</v>
      </c>
      <c r="L227" s="26">
        <f>ListaDeInventario[[#This Row],[Precio por unidad]]*ListaDeInventario[[#This Row],[Cantidad en existencias]]</f>
        <v>13600</v>
      </c>
      <c r="M227" s="27">
        <v>10</v>
      </c>
      <c r="N227" s="27"/>
      <c r="O227" s="11" t="s">
        <v>559</v>
      </c>
      <c r="P227" s="13" t="s">
        <v>560</v>
      </c>
      <c r="Q227" s="13"/>
      <c r="R227" s="28"/>
    </row>
    <row r="228" spans="2:18" ht="30" customHeight="1" x14ac:dyDescent="0.25">
      <c r="B228" s="24">
        <f>IFERROR((ListaDeInventario[[#This Row],[Cantidad en existencias]]&lt;=ListaDeInventario[[#This Row],[Stock critico]])*(ListaDeInventario[[#This Row],[subdivision]]="")*valResaltado,0)</f>
        <v>0</v>
      </c>
      <c r="C228" s="8" t="s">
        <v>524</v>
      </c>
      <c r="D228" s="8" t="s">
        <v>555</v>
      </c>
      <c r="E228" s="22" t="s">
        <v>561</v>
      </c>
      <c r="F228" s="8"/>
      <c r="G228" s="22" t="s">
        <v>562</v>
      </c>
      <c r="H228" s="8" t="s">
        <v>97</v>
      </c>
      <c r="I228" s="8" t="s">
        <v>563</v>
      </c>
      <c r="J228" s="26">
        <v>5100</v>
      </c>
      <c r="K228" s="27"/>
      <c r="L228" s="26">
        <f>ListaDeInventario[[#This Row],[Precio por unidad]]*ListaDeInventario[[#This Row],[Cantidad en existencias]]</f>
        <v>0</v>
      </c>
      <c r="M228" s="27">
        <v>2</v>
      </c>
      <c r="N228" s="27"/>
      <c r="O228" s="11" t="s">
        <v>559</v>
      </c>
      <c r="P228" s="13" t="s">
        <v>564</v>
      </c>
      <c r="Q228" s="13"/>
      <c r="R228" s="28"/>
    </row>
    <row r="229" spans="2:18" ht="30" customHeight="1" x14ac:dyDescent="0.25">
      <c r="B229" s="24">
        <f>IFERROR((ListaDeInventario[[#This Row],[Cantidad en existencias]]&lt;=ListaDeInventario[[#This Row],[Stock critico]])*(ListaDeInventario[[#This Row],[subdivision]]="")*valResaltado,0)</f>
        <v>0</v>
      </c>
      <c r="C229" s="8" t="s">
        <v>525</v>
      </c>
      <c r="D229" s="8" t="s">
        <v>211</v>
      </c>
      <c r="E229" s="22" t="s">
        <v>565</v>
      </c>
      <c r="F229" s="8" t="s">
        <v>566</v>
      </c>
      <c r="G229" s="22" t="s">
        <v>567</v>
      </c>
      <c r="H229" s="8" t="s">
        <v>97</v>
      </c>
      <c r="I229" s="8" t="s">
        <v>296</v>
      </c>
      <c r="J229" s="26"/>
      <c r="K229" s="27">
        <v>0</v>
      </c>
      <c r="L229" s="26">
        <f>ListaDeInventario[[#This Row],[Precio por unidad]]*ListaDeInventario[[#This Row],[Cantidad en existencias]]</f>
        <v>0</v>
      </c>
      <c r="M229" s="27"/>
      <c r="N229" s="27"/>
      <c r="O229" s="11" t="s">
        <v>575</v>
      </c>
      <c r="P229" s="13" t="s">
        <v>568</v>
      </c>
      <c r="Q229" s="13"/>
      <c r="R229" s="28"/>
    </row>
    <row r="230" spans="2:18" ht="30" customHeight="1" x14ac:dyDescent="0.25">
      <c r="B230" s="24">
        <f>IFERROR((ListaDeInventario[[#This Row],[Cantidad en existencias]]&lt;=ListaDeInventario[[#This Row],[Stock critico]])*(ListaDeInventario[[#This Row],[subdivision]]="")*valResaltado,0)</f>
        <v>0</v>
      </c>
      <c r="C230" s="8" t="s">
        <v>526</v>
      </c>
      <c r="D230" s="8" t="s">
        <v>211</v>
      </c>
      <c r="E230" s="22" t="s">
        <v>569</v>
      </c>
      <c r="F230" s="8"/>
      <c r="G230" s="22" t="s">
        <v>570</v>
      </c>
      <c r="H230" s="8" t="s">
        <v>97</v>
      </c>
      <c r="I230" s="8" t="s">
        <v>571</v>
      </c>
      <c r="J230" s="26">
        <v>450000</v>
      </c>
      <c r="K230" s="27">
        <v>2</v>
      </c>
      <c r="L230" s="26">
        <f>ListaDeInventario[[#This Row],[Precio por unidad]]*ListaDeInventario[[#This Row],[Cantidad en existencias]]</f>
        <v>900000</v>
      </c>
      <c r="M230" s="27">
        <v>2</v>
      </c>
      <c r="N230" s="27"/>
      <c r="O230" s="11" t="s">
        <v>575</v>
      </c>
      <c r="P230" s="13" t="s">
        <v>572</v>
      </c>
      <c r="Q230" s="13" t="s">
        <v>573</v>
      </c>
      <c r="R230" s="28"/>
    </row>
    <row r="231" spans="2:18" ht="30" customHeight="1" x14ac:dyDescent="0.25">
      <c r="B231" s="24">
        <f>IFERROR((ListaDeInventario[[#This Row],[Cantidad en existencias]]&lt;=ListaDeInventario[[#This Row],[Stock critico]])*(ListaDeInventario[[#This Row],[subdivision]]="")*valResaltado,0)</f>
        <v>0</v>
      </c>
      <c r="C231" s="8" t="s">
        <v>527</v>
      </c>
      <c r="D231" s="8"/>
      <c r="E231" s="25"/>
      <c r="F231" s="8"/>
      <c r="G231" s="25"/>
      <c r="H231" s="8"/>
      <c r="I231" s="8"/>
      <c r="J231" s="26"/>
      <c r="K231" s="27"/>
      <c r="L231" s="26">
        <f>ListaDeInventario[[#This Row],[Precio por unidad]]*ListaDeInventario[[#This Row],[Cantidad en existencias]]</f>
        <v>0</v>
      </c>
      <c r="M231" s="27"/>
      <c r="N231" s="27"/>
      <c r="O231" s="27"/>
      <c r="P231" s="29"/>
      <c r="Q231" s="13"/>
      <c r="R231" s="28"/>
    </row>
    <row r="232" spans="2:18" ht="30" customHeight="1" x14ac:dyDescent="0.25">
      <c r="B232" s="24">
        <f>IFERROR((ListaDeInventario[[#This Row],[Cantidad en existencias]]&lt;=ListaDeInventario[[#This Row],[Stock critico]])*(ListaDeInventario[[#This Row],[subdivision]]="")*valResaltado,0)</f>
        <v>0</v>
      </c>
      <c r="C232" s="8" t="s">
        <v>528</v>
      </c>
      <c r="D232" s="8"/>
      <c r="E232" s="25"/>
      <c r="F232" s="8"/>
      <c r="G232" s="25"/>
      <c r="H232" s="8"/>
      <c r="I232" s="8"/>
      <c r="J232" s="26"/>
      <c r="K232" s="27"/>
      <c r="L232" s="26">
        <f>ListaDeInventario[[#This Row],[Precio por unidad]]*ListaDeInventario[[#This Row],[Cantidad en existencias]]</f>
        <v>0</v>
      </c>
      <c r="M232" s="27"/>
      <c r="N232" s="27"/>
      <c r="O232" s="27"/>
      <c r="P232" s="29"/>
      <c r="Q232" s="13"/>
      <c r="R232" s="28"/>
    </row>
    <row r="233" spans="2:18" ht="30" customHeight="1" x14ac:dyDescent="0.25">
      <c r="B233" s="24">
        <f>IFERROR((ListaDeInventario[[#This Row],[Cantidad en existencias]]&lt;=ListaDeInventario[[#This Row],[Stock critico]])*(ListaDeInventario[[#This Row],[subdivision]]="")*valResaltado,0)</f>
        <v>0</v>
      </c>
      <c r="C233" s="8" t="s">
        <v>529</v>
      </c>
      <c r="D233" s="8"/>
      <c r="E233" s="25"/>
      <c r="F233" s="8"/>
      <c r="G233" s="25"/>
      <c r="H233" s="8"/>
      <c r="I233" s="8"/>
      <c r="J233" s="26"/>
      <c r="K233" s="27"/>
      <c r="L233" s="26">
        <f>ListaDeInventario[[#This Row],[Precio por unidad]]*ListaDeInventario[[#This Row],[Cantidad en existencias]]</f>
        <v>0</v>
      </c>
      <c r="M233" s="27"/>
      <c r="N233" s="27"/>
      <c r="O233" s="27"/>
      <c r="P233" s="29"/>
      <c r="Q233" s="13"/>
      <c r="R233" s="28"/>
    </row>
    <row r="234" spans="2:18" ht="30" customHeight="1" x14ac:dyDescent="0.25">
      <c r="B234" s="24">
        <f>IFERROR((ListaDeInventario[[#This Row],[Cantidad en existencias]]&lt;=ListaDeInventario[[#This Row],[Stock critico]])*(ListaDeInventario[[#This Row],[subdivision]]="")*valResaltado,0)</f>
        <v>0</v>
      </c>
      <c r="C234" s="8" t="s">
        <v>530</v>
      </c>
      <c r="D234" s="8"/>
      <c r="E234" s="25"/>
      <c r="F234" s="8"/>
      <c r="G234" s="25"/>
      <c r="H234" s="8"/>
      <c r="I234" s="8"/>
      <c r="J234" s="26"/>
      <c r="K234" s="27"/>
      <c r="L234" s="26">
        <f>ListaDeInventario[[#This Row],[Precio por unidad]]*ListaDeInventario[[#This Row],[Cantidad en existencias]]</f>
        <v>0</v>
      </c>
      <c r="M234" s="27"/>
      <c r="N234" s="27"/>
      <c r="O234" s="27"/>
      <c r="P234" s="29"/>
      <c r="Q234" s="13"/>
      <c r="R234" s="28"/>
    </row>
    <row r="235" spans="2:18" ht="30" customHeight="1" x14ac:dyDescent="0.25">
      <c r="B235" s="24">
        <f>IFERROR((ListaDeInventario[[#This Row],[Cantidad en existencias]]&lt;=ListaDeInventario[[#This Row],[Stock critico]])*(ListaDeInventario[[#This Row],[subdivision]]="")*valResaltado,0)</f>
        <v>0</v>
      </c>
      <c r="C235" s="8" t="s">
        <v>531</v>
      </c>
      <c r="D235" s="8"/>
      <c r="E235" s="25"/>
      <c r="F235" s="8"/>
      <c r="G235" s="25"/>
      <c r="H235" s="8"/>
      <c r="I235" s="8"/>
      <c r="J235" s="26"/>
      <c r="K235" s="27"/>
      <c r="L235" s="26">
        <f>ListaDeInventario[[#This Row],[Precio por unidad]]*ListaDeInventario[[#This Row],[Cantidad en existencias]]</f>
        <v>0</v>
      </c>
      <c r="M235" s="27"/>
      <c r="N235" s="27"/>
      <c r="O235" s="27"/>
      <c r="P235" s="29"/>
      <c r="Q235" s="13"/>
      <c r="R235" s="28"/>
    </row>
    <row r="236" spans="2:18" ht="30" customHeight="1" x14ac:dyDescent="0.25">
      <c r="B236" s="24">
        <f>IFERROR((ListaDeInventario[[#This Row],[Cantidad en existencias]]&lt;=ListaDeInventario[[#This Row],[Stock critico]])*(ListaDeInventario[[#This Row],[subdivision]]="")*valResaltado,0)</f>
        <v>0</v>
      </c>
      <c r="C236" s="8" t="s">
        <v>532</v>
      </c>
      <c r="D236" s="8"/>
      <c r="E236" s="25"/>
      <c r="F236" s="8"/>
      <c r="G236" s="25"/>
      <c r="H236" s="8"/>
      <c r="I236" s="8"/>
      <c r="J236" s="26"/>
      <c r="K236" s="27"/>
      <c r="L236" s="26">
        <f>ListaDeInventario[[#This Row],[Precio por unidad]]*ListaDeInventario[[#This Row],[Cantidad en existencias]]</f>
        <v>0</v>
      </c>
      <c r="M236" s="27"/>
      <c r="N236" s="27"/>
      <c r="O236" s="27"/>
      <c r="P236" s="29"/>
      <c r="Q236" s="13"/>
      <c r="R236" s="28"/>
    </row>
    <row r="237" spans="2:18" ht="30" customHeight="1" x14ac:dyDescent="0.25">
      <c r="B237" s="24">
        <f>IFERROR((ListaDeInventario[[#This Row],[Cantidad en existencias]]&lt;=ListaDeInventario[[#This Row],[Stock critico]])*(ListaDeInventario[[#This Row],[subdivision]]="")*valResaltado,0)</f>
        <v>0</v>
      </c>
      <c r="C237" s="8" t="s">
        <v>533</v>
      </c>
      <c r="D237" s="8"/>
      <c r="E237" s="25"/>
      <c r="F237" s="8"/>
      <c r="G237" s="25"/>
      <c r="H237" s="8"/>
      <c r="I237" s="8"/>
      <c r="J237" s="26"/>
      <c r="K237" s="27"/>
      <c r="L237" s="26">
        <f>ListaDeInventario[[#This Row],[Precio por unidad]]*ListaDeInventario[[#This Row],[Cantidad en existencias]]</f>
        <v>0</v>
      </c>
      <c r="M237" s="27"/>
      <c r="N237" s="27"/>
      <c r="O237" s="27"/>
      <c r="P237" s="29"/>
      <c r="Q237" s="13"/>
      <c r="R237" s="28"/>
    </row>
    <row r="238" spans="2:18" ht="30" customHeight="1" x14ac:dyDescent="0.25">
      <c r="B238" s="24">
        <f>IFERROR((ListaDeInventario[[#This Row],[Cantidad en existencias]]&lt;=ListaDeInventario[[#This Row],[Stock critico]])*(ListaDeInventario[[#This Row],[subdivision]]="")*valResaltado,0)</f>
        <v>0</v>
      </c>
      <c r="C238" s="8" t="s">
        <v>534</v>
      </c>
      <c r="D238" s="8"/>
      <c r="E238" s="25"/>
      <c r="F238" s="8"/>
      <c r="G238" s="25"/>
      <c r="H238" s="8"/>
      <c r="I238" s="8"/>
      <c r="J238" s="26"/>
      <c r="K238" s="27"/>
      <c r="L238" s="26">
        <f>ListaDeInventario[[#This Row],[Precio por unidad]]*ListaDeInventario[[#This Row],[Cantidad en existencias]]</f>
        <v>0</v>
      </c>
      <c r="M238" s="27"/>
      <c r="N238" s="27"/>
      <c r="O238" s="27"/>
      <c r="P238" s="29"/>
      <c r="Q238" s="13"/>
      <c r="R238" s="28"/>
    </row>
    <row r="239" spans="2:18" ht="30" customHeight="1" x14ac:dyDescent="0.25">
      <c r="B239" s="24">
        <f>IFERROR((ListaDeInventario[[#This Row],[Cantidad en existencias]]&lt;=ListaDeInventario[[#This Row],[Stock critico]])*(ListaDeInventario[[#This Row],[subdivision]]="")*valResaltado,0)</f>
        <v>0</v>
      </c>
      <c r="C239" s="8" t="s">
        <v>535</v>
      </c>
      <c r="D239" s="8"/>
      <c r="E239" s="25"/>
      <c r="F239" s="8"/>
      <c r="G239" s="25"/>
      <c r="H239" s="8"/>
      <c r="I239" s="8"/>
      <c r="J239" s="26"/>
      <c r="K239" s="27"/>
      <c r="L239" s="26">
        <f>ListaDeInventario[[#This Row],[Precio por unidad]]*ListaDeInventario[[#This Row],[Cantidad en existencias]]</f>
        <v>0</v>
      </c>
      <c r="M239" s="27"/>
      <c r="N239" s="27"/>
      <c r="O239" s="27"/>
      <c r="P239" s="29"/>
      <c r="Q239" s="13"/>
      <c r="R239" s="28"/>
    </row>
    <row r="240" spans="2:18" ht="30" customHeight="1" x14ac:dyDescent="0.25">
      <c r="B240" s="24">
        <f>IFERROR((ListaDeInventario[[#This Row],[Cantidad en existencias]]&lt;=ListaDeInventario[[#This Row],[Stock critico]])*(ListaDeInventario[[#This Row],[subdivision]]="")*valResaltado,0)</f>
        <v>0</v>
      </c>
      <c r="C240" s="8" t="s">
        <v>536</v>
      </c>
      <c r="D240" s="8"/>
      <c r="E240" s="25"/>
      <c r="F240" s="8"/>
      <c r="G240" s="25"/>
      <c r="H240" s="8"/>
      <c r="I240" s="8"/>
      <c r="J240" s="26"/>
      <c r="K240" s="27"/>
      <c r="L240" s="26">
        <f>ListaDeInventario[[#This Row],[Precio por unidad]]*ListaDeInventario[[#This Row],[Cantidad en existencias]]</f>
        <v>0</v>
      </c>
      <c r="M240" s="27"/>
      <c r="N240" s="27"/>
      <c r="O240" s="27"/>
      <c r="P240" s="29"/>
      <c r="Q240" s="13"/>
      <c r="R240" s="28"/>
    </row>
    <row r="241" spans="2:18" ht="30" customHeight="1" x14ac:dyDescent="0.25">
      <c r="B241" s="24">
        <f>IFERROR((ListaDeInventario[[#This Row],[Cantidad en existencias]]&lt;=ListaDeInventario[[#This Row],[Stock critico]])*(ListaDeInventario[[#This Row],[subdivision]]="")*valResaltado,0)</f>
        <v>0</v>
      </c>
      <c r="C241" s="8" t="s">
        <v>537</v>
      </c>
      <c r="D241" s="8"/>
      <c r="E241" s="25"/>
      <c r="F241" s="8"/>
      <c r="G241" s="25"/>
      <c r="H241" s="8"/>
      <c r="I241" s="8"/>
      <c r="J241" s="26"/>
      <c r="K241" s="27"/>
      <c r="L241" s="26">
        <f>ListaDeInventario[[#This Row],[Precio por unidad]]*ListaDeInventario[[#This Row],[Cantidad en existencias]]</f>
        <v>0</v>
      </c>
      <c r="M241" s="27"/>
      <c r="N241" s="27"/>
      <c r="O241" s="27"/>
      <c r="P241" s="29"/>
      <c r="Q241" s="13"/>
      <c r="R241" s="28"/>
    </row>
    <row r="242" spans="2:18" ht="30" customHeight="1" x14ac:dyDescent="0.25">
      <c r="B242" s="24">
        <f>IFERROR((ListaDeInventario[[#This Row],[Cantidad en existencias]]&lt;=ListaDeInventario[[#This Row],[Stock critico]])*(ListaDeInventario[[#This Row],[subdivision]]="")*valResaltado,0)</f>
        <v>0</v>
      </c>
      <c r="C242" s="8" t="s">
        <v>538</v>
      </c>
      <c r="D242" s="8"/>
      <c r="E242" s="25"/>
      <c r="F242" s="8"/>
      <c r="G242" s="25"/>
      <c r="H242" s="8"/>
      <c r="I242" s="8"/>
      <c r="J242" s="26"/>
      <c r="K242" s="27"/>
      <c r="L242" s="26">
        <f>ListaDeInventario[[#This Row],[Precio por unidad]]*ListaDeInventario[[#This Row],[Cantidad en existencias]]</f>
        <v>0</v>
      </c>
      <c r="M242" s="27"/>
      <c r="N242" s="27"/>
      <c r="O242" s="27"/>
      <c r="P242" s="29"/>
      <c r="Q242" s="13"/>
      <c r="R242" s="28"/>
    </row>
  </sheetData>
  <mergeCells count="4">
    <mergeCell ref="C1:G1"/>
    <mergeCell ref="J1:K1"/>
    <mergeCell ref="O4:P4"/>
    <mergeCell ref="O3:P3"/>
  </mergeCells>
  <phoneticPr fontId="9" type="noConversion"/>
  <conditionalFormatting sqref="C7:R101 C102:N196 P102:R196 C197:R213 D214:R219 C214:C242">
    <cfRule type="expression" dxfId="1" priority="26">
      <formula>$B7=1</formula>
    </cfRule>
    <cfRule type="expression" dxfId="0" priority="27">
      <formula>$P7="sí"</formula>
    </cfRule>
  </conditionalFormatting>
  <dataValidations count="14">
    <dataValidation type="list" allowBlank="1" showInputMessage="1" showErrorMessage="1" error="Seleccione una opción de la lista desplegable. Seleccione REINTENTAR para especificar Sí o No, o bien seleccione CANCELAR y pulse ALT+FLECHA ABAJO para desplazarse por la lista." prompt="Para resaltar artículos que se volverán a pedir, pulse ALT+FLECHA ABAJO, vaya a Sí y pulse ENTRAR. Aparecerá una marca en la columna B y se resaltará la fila en la tabla de la lista de inventario. Si selecciona No, se borran la marca y los resaltados." sqref="L1" xr:uid="{00000000-0002-0000-0000-000000000000}">
      <formula1>"Sí, No"</formula1>
    </dataValidation>
    <dataValidation allowBlank="1" showInputMessage="1" prompt="En esta hoja de cálculo se siguen los artículos del inventario de la tabla de la lista de inventario y se pueden resaltar y marcar los artículos que se pueden volver a pedir. Los que se han suspendido aparecen tachados con 'Sí' en la columna ¿Suspendido?" sqref="A1" xr:uid="{00000000-0002-0000-0000-000001000000}"/>
    <dataValidation errorStyle="information" allowBlank="1" showInputMessage="1" error="Solamente con la entrada &quot;sí&quot; se resaltarán los artículos que van a volver a pedirse." prompt="Resaltado de artículos que se volverán a pedir. Si selecciona Sí en la lista de H1 a la derecha, se resaltarán las filas y se colocará una marca en la columna B de la tabla de la lista de inventario para los artículos que se pueden volver a pedir." sqref="J1:K1" xr:uid="{00000000-0002-0000-0000-000002000000}"/>
    <dataValidation allowBlank="1" showInputMessage="1" showErrorMessage="1" prompt="Un icono de marca en esta columna indica los artículos de la lista de inventario que están listos para volver a pedirse. Los iconos de marca solo aparecen cuando se selecciona Sí en la celda H1 y el artículo cumple los criterios para volver a pedirse." sqref="B6" xr:uid="{00000000-0002-0000-0000-000003000000}"/>
    <dataValidation allowBlank="1" showInputMessage="1" showErrorMessage="1" prompt="Especifique en esta columna el identificador de inventario del artículo." sqref="C6:D6" xr:uid="{00000000-0002-0000-0000-000004000000}"/>
    <dataValidation allowBlank="1" showInputMessage="1" showErrorMessage="1" prompt="Especifique en esta columna el nombre del artículo." sqref="E6:F6" xr:uid="{00000000-0002-0000-0000-000005000000}"/>
    <dataValidation allowBlank="1" showInputMessage="1" showErrorMessage="1" prompt="Especifique en esta columna una descripción del artículo." sqref="G6:I6" xr:uid="{00000000-0002-0000-0000-000006000000}"/>
    <dataValidation allowBlank="1" showInputMessage="1" showErrorMessage="1" prompt="Especifique en esta columna el precio por unidad de cada artículo." sqref="J6" xr:uid="{00000000-0002-0000-0000-000007000000}"/>
    <dataValidation allowBlank="1" showInputMessage="1" showErrorMessage="1" prompt="Especifique en esta columna la cantidad en existencias de cada artículo." sqref="K6" xr:uid="{00000000-0002-0000-0000-000008000000}"/>
    <dataValidation allowBlank="1" showInputMessage="1" showErrorMessage="1" prompt="El valor de inventario de cada artículo se calcula automáticamente en esta columna." sqref="L6" xr:uid="{00000000-0002-0000-0000-000009000000}"/>
    <dataValidation allowBlank="1" showInputMessage="1" showErrorMessage="1" prompt="Especifique en esta columna el nivel del nuevo pedido de cada artículo." sqref="M6" xr:uid="{00000000-0002-0000-0000-00000A000000}"/>
    <dataValidation allowBlank="1" showInputMessage="1" showErrorMessage="1" prompt="Especifique esta columna el número de días que se tarda en volver a pedir cada artículo." sqref="N6" xr:uid="{00000000-0002-0000-0000-00000B000000}"/>
    <dataValidation allowBlank="1" showInputMessage="1" showErrorMessage="1" prompt="Especifique en esta columna la cantidad del nuevo pedido de cada artículo." sqref="O6" xr:uid="{00000000-0002-0000-0000-00000C000000}"/>
    <dataValidation allowBlank="1" showInputMessage="1" showErrorMessage="1" prompt="Especifique &quot;sí&quot; si el artículo se ha suspendido. Cuando se escribe &quot;sí&quot;, se resalta la fila correspondiente en color gris claro y el estilo de la fuente cambia a tachado." sqref="P6:Q6" xr:uid="{00000000-0002-0000-0000-00000D000000}"/>
  </dataValidations>
  <printOptions horizontalCentered="1"/>
  <pageMargins left="0.25" right="0.25" top="0.75" bottom="0.75" header="0.05" footer="0.3"/>
  <pageSetup paperSize="9" scale="48" fitToHeight="0" orientation="portrait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1" id="{A805BCDA-60BA-4229-B65E-26A7421A74F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B7:B242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TM02802349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Lista de inventario</vt:lpstr>
      <vt:lpstr>TítuloDeColumna1</vt:lpstr>
      <vt:lpstr>'Lista de inventario'!Títulos_a_imprimir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wilfredo rivera</dc:creator>
  <cp:lastModifiedBy>NICOLAS RENATO SENA CAVIERES</cp:lastModifiedBy>
  <dcterms:created xsi:type="dcterms:W3CDTF">2016-08-01T23:26:40Z</dcterms:created>
  <dcterms:modified xsi:type="dcterms:W3CDTF">2026-05-12T21:24:29Z</dcterms:modified>
</cp:coreProperties>
</file>